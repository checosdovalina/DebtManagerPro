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jesus\Dropbox\Capturas de pantalla\Cartera Lic. JESUS LEAL\"/>
    </mc:Choice>
  </mc:AlternateContent>
  <xr:revisionPtr revIDLastSave="0" documentId="13_ncr:1_{AD12CA41-35A2-4B0D-9700-09A5EAE8C5FD}" xr6:coauthVersionLast="47" xr6:coauthVersionMax="47" xr10:uidLastSave="{00000000-0000-0000-0000-000000000000}"/>
  <bookViews>
    <workbookView xWindow="-120" yWindow="-120" windowWidth="29040" windowHeight="15840" activeTab="1" xr2:uid="{00000000-000D-0000-FFFF-FFFF00000000}"/>
  </bookViews>
  <sheets>
    <sheet name="Datos Generales" sheetId="1" r:id="rId1"/>
    <sheet name="Bitácora" sheetId="2" r:id="rId2"/>
    <sheet name="Adeudo" sheetId="5" r:id="rId3"/>
    <sheet name="Reporte al cliente" sheetId="3" r:id="rId4"/>
    <sheet name="Datos de Visitas" sheetId="4" r:id="rId5"/>
    <sheet name="Facturas "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5" l="1"/>
  <c r="D33" i="5"/>
  <c r="D34" i="5" s="1"/>
  <c r="D35" i="5" s="1"/>
  <c r="D36" i="5" s="1"/>
  <c r="D37" i="5" s="1"/>
  <c r="D38" i="5" s="1"/>
  <c r="D39" i="5" s="1"/>
  <c r="D40" i="5" s="1"/>
  <c r="D32" i="5"/>
  <c r="K36" i="6"/>
  <c r="I36" i="6"/>
  <c r="I35" i="6"/>
  <c r="J35" i="6" s="1"/>
  <c r="I34" i="6"/>
  <c r="J34" i="6" s="1"/>
  <c r="I33" i="6"/>
  <c r="J33" i="6" s="1"/>
  <c r="I32" i="6"/>
  <c r="J32" i="6" s="1"/>
  <c r="I31" i="6"/>
  <c r="J31" i="6" s="1"/>
  <c r="I30" i="6"/>
  <c r="J30" i="6" s="1"/>
  <c r="I29" i="6"/>
  <c r="J29" i="6" s="1"/>
  <c r="I28" i="6"/>
  <c r="J28" i="6" s="1"/>
  <c r="I27" i="6"/>
  <c r="J27" i="6" s="1"/>
  <c r="I26" i="6"/>
  <c r="J26" i="6" s="1"/>
  <c r="I25" i="6"/>
  <c r="J25" i="6" s="1"/>
  <c r="I24" i="6"/>
  <c r="J24" i="6" s="1"/>
  <c r="I23" i="6"/>
  <c r="J23" i="6" s="1"/>
  <c r="I22" i="6"/>
  <c r="J22" i="6" s="1"/>
  <c r="I21" i="6"/>
  <c r="J21" i="6" s="1"/>
  <c r="I20" i="6"/>
  <c r="J20" i="6" s="1"/>
  <c r="I19" i="6"/>
  <c r="J19" i="6" s="1"/>
  <c r="I18" i="6"/>
  <c r="J18" i="6" s="1"/>
  <c r="I17" i="6"/>
  <c r="J17" i="6" s="1"/>
  <c r="I16" i="6"/>
  <c r="J16" i="6" s="1"/>
  <c r="I15" i="6"/>
  <c r="J15" i="6" s="1"/>
  <c r="I14" i="6"/>
  <c r="J14" i="6" s="1"/>
  <c r="I13" i="6"/>
  <c r="J13" i="6" s="1"/>
  <c r="I12" i="6"/>
  <c r="J12" i="6" s="1"/>
  <c r="I11" i="6"/>
  <c r="J11" i="6" s="1"/>
  <c r="I10" i="6"/>
  <c r="J10" i="6" s="1"/>
  <c r="I9" i="6"/>
  <c r="J9" i="6" s="1"/>
  <c r="I8" i="6"/>
  <c r="J8" i="6" s="1"/>
  <c r="B2" i="5"/>
  <c r="D5" i="5" s="1"/>
  <c r="D6" i="5" s="1"/>
  <c r="D7" i="5" s="1"/>
  <c r="D8" i="5" s="1"/>
  <c r="D9" i="5" s="1"/>
  <c r="D10" i="5" s="1"/>
  <c r="D11" i="5" s="1"/>
  <c r="D12" i="5" s="1"/>
  <c r="D13" i="5" s="1"/>
  <c r="D14" i="5" s="1"/>
  <c r="D15" i="5" s="1"/>
  <c r="D16" i="5" s="1"/>
  <c r="D17" i="5" s="1"/>
  <c r="D18" i="5" s="1"/>
  <c r="D19" i="5" s="1"/>
  <c r="D20" i="5" s="1"/>
  <c r="D21" i="5" s="1"/>
  <c r="D22" i="5" s="1"/>
  <c r="D23" i="5" s="1"/>
  <c r="D24" i="5" s="1"/>
  <c r="D25" i="5" s="1"/>
  <c r="D26" i="5" s="1"/>
  <c r="D27" i="5" s="1"/>
  <c r="D28" i="5" s="1"/>
  <c r="D29" i="5" s="1"/>
  <c r="D30" i="5" s="1"/>
  <c r="D31" i="5" s="1"/>
  <c r="J36" i="6" l="1"/>
  <c r="D41" i="5"/>
</calcChain>
</file>

<file path=xl/sharedStrings.xml><?xml version="1.0" encoding="utf-8"?>
<sst xmlns="http://schemas.openxmlformats.org/spreadsheetml/2006/main" count="731" uniqueCount="488">
  <si>
    <t>Fecha</t>
  </si>
  <si>
    <t>Comentario</t>
  </si>
  <si>
    <t>Hora Aprox</t>
  </si>
  <si>
    <t>Promesa de Pago</t>
  </si>
  <si>
    <t>Control Interno</t>
  </si>
  <si>
    <t>No. Folio</t>
  </si>
  <si>
    <t>Fecha Alta:</t>
  </si>
  <si>
    <t>Ultima Promesa de pago. Fecha y cantidad prometida:</t>
  </si>
  <si>
    <t>CLIENTE</t>
  </si>
  <si>
    <t>DEUDOR</t>
  </si>
  <si>
    <t>NOMBRE DEL DEUDOR</t>
  </si>
  <si>
    <t>IMPORTE COLOCADO POR CLIENTE:</t>
  </si>
  <si>
    <t>ANTIGÜEDAD DE LA CUENTA</t>
  </si>
  <si>
    <t>MERCANCÍA O SERVICIO VENDIDO POR CTE</t>
  </si>
  <si>
    <t>DATOS TELEFÓNICOS</t>
  </si>
  <si>
    <t>DATOS DE DOMICILIO</t>
  </si>
  <si>
    <t>NOMBRE Y PUESTO DEL CONTACTO DEUDOR</t>
  </si>
  <si>
    <t>QUÉ EXCUSA LE HA DADO A NUESTRO CLIENTE EL DEUDOR PARA NO PAGAR.</t>
  </si>
  <si>
    <t>PROPIEDADES UBICADAS DEL DEUDOR.</t>
  </si>
  <si>
    <t>CLIENTE QUIERE O NO MANTENER RELACIÓN COMERCIAL</t>
  </si>
  <si>
    <t>No. Abono</t>
  </si>
  <si>
    <t>Cantidad Pago</t>
  </si>
  <si>
    <t>Saldo Nuevo</t>
  </si>
  <si>
    <t>Adeudo:</t>
  </si>
  <si>
    <t>Tot.Abonos</t>
  </si>
  <si>
    <t>Nuevo Saldo:</t>
  </si>
  <si>
    <t>LISTA DE DOCUMENTOS CON LOS QUE SE CUENTA PARA RESPALDAR LA CUENTA.</t>
  </si>
  <si>
    <t>Colocó:</t>
  </si>
  <si>
    <t>IMPORTANTE: AL TERMINAR DE CAPTURAR O DAR DE ALTA, DARLE "GUARDAR COMO" EN DROPBOX. PONER EL NOMBRE DEL CLIENTE, LUEGO UN GUIÓN Y LUEGO EL NOMBRE DEL DEUDOR, Y ASÍ ES COMO SE LLAMARÁ EL ARCHIVO. EJEMPLO: PGL - TANNER MAQUINARIAS, SA DE CV. // ASÍ TODAS LAS CUENTAS DE PGL EMPEZARÁN PRECISAMENTE CON EL NOMBRE DEL CLIENTE Y ASÍ LAS PODREMOS IDENTIFICAR MÁS FÁCIL EN EL LISTADO DE ARCHIVOS.</t>
  </si>
  <si>
    <t>Facturado</t>
  </si>
  <si>
    <t>No. Reporte</t>
  </si>
  <si>
    <t>Próximo reporte</t>
  </si>
  <si>
    <t>Compromiso hecho al cliente</t>
  </si>
  <si>
    <t>Contenido del reporte</t>
  </si>
  <si>
    <t>Nombre:</t>
  </si>
  <si>
    <t>Axalta Powder Coating Systems de México, S. de R.L. de C.V.</t>
  </si>
  <si>
    <t>R.F.C:</t>
  </si>
  <si>
    <t>DPC971003AI0</t>
  </si>
  <si>
    <t>Calle y num:</t>
  </si>
  <si>
    <t>CARRETERA LIBRE ESTATAL MIGUEL ALEMAN KM 11.2</t>
  </si>
  <si>
    <t>Colonia:</t>
  </si>
  <si>
    <t xml:space="preserve">Apodaca Centro </t>
  </si>
  <si>
    <t>Email</t>
  </si>
  <si>
    <t>jaime.ramirez@axalta.com</t>
  </si>
  <si>
    <t>Del/Mun.:</t>
  </si>
  <si>
    <t xml:space="preserve">Apodaca </t>
  </si>
  <si>
    <t>C.P.</t>
  </si>
  <si>
    <t>Estado</t>
  </si>
  <si>
    <t>Nuevo León</t>
  </si>
  <si>
    <t>Telefonos:</t>
  </si>
  <si>
    <t>55 5366-4600</t>
  </si>
  <si>
    <t>Giro:</t>
  </si>
  <si>
    <t xml:space="preserve">pinturas y recubrimientos en polvo </t>
  </si>
  <si>
    <t>Contacto:</t>
  </si>
  <si>
    <t xml:space="preserve">Jaime Ramírez López </t>
  </si>
  <si>
    <t>Datos Bancarios para pagos de su deudor:</t>
  </si>
  <si>
    <t>Banamex</t>
  </si>
  <si>
    <t>Referencia numerica</t>
  </si>
  <si>
    <t>referencia alfanumerica</t>
  </si>
  <si>
    <t>MYE9999935</t>
  </si>
  <si>
    <t xml:space="preserve"> </t>
  </si>
  <si>
    <t>Pintura y recubrimientos en polvo</t>
  </si>
  <si>
    <t>X</t>
  </si>
  <si>
    <t>QUE NO TIENE DINERO, DA LARGAS E INCUMPLE PROMESAS</t>
  </si>
  <si>
    <t>NO HADADO PROMESA</t>
  </si>
  <si>
    <t>CDMX</t>
  </si>
  <si>
    <t>ÉL MISMO - DUEÑO</t>
  </si>
  <si>
    <t>ESTADO DE CUENTA FACTURAS Y PAGARÉ. CUENTA YA EN JUICIO DEMANDADO EN CDMX Y EN ESPERA DE EXHORTO.</t>
  </si>
  <si>
    <t>COA4758</t>
  </si>
  <si>
    <t>GUILLERMO LOZOYA ESTRADA</t>
  </si>
  <si>
    <t>DICIMBRE DE 2019</t>
  </si>
  <si>
    <t>656-419-9944 // Correo glozoyae@hotmail.com</t>
  </si>
  <si>
    <t>IGNACIO ZARAGOZA 105, COL. MORELOS ZARAGOZA. CIUDAD JUAREZ, Chihuahua. CP 32618 // Domicilio INE: Quinta Camaro 1545, FRACC. QUINTAS DEL VALLE. CP 3254. CIUDAD JUÁREZ, CHIHUAHUA-</t>
  </si>
  <si>
    <t>SE ASIGNA A JESÚS LEAL PARA SEGUIMIENTO A PAGOS SUBSECUENTES --- CRJT</t>
  </si>
  <si>
    <t>CUENTA ASIGNADA DIRECTA A JUICIO, CON UN 8% SOBRE RECUPERACIÓN. LA CUENTA SE ASIGNÓ EN MARZO DE 2023, SE TUVO PROBLEMAS CON LA ADMISIÓN YA QUE EL JUZGADO SE DECLARÓ INCOMPETENTE POR LA JURISDICCIÓN, ESTIMANDO QUE CORRESPONDE DEMANDAR EN CIUDAD JUÁREZ. ESTAMOS RECUPERANDO EL EXPEDIENTE DE ORIGINALES Y MIENTRAS TANTO ES IMPORTANTE EMPEZAR A PRESIONAR AL DEUDOR--- CRJT</t>
  </si>
  <si>
    <t>656-419-9944 // NO FUNCIONA</t>
  </si>
  <si>
    <t xml:space="preserve">656-419-9944 // NO FUNCIONADe: jesusleal@dcsmexico.com &lt;jesusleal@dcsmexico.com&gt; 
Enviado el: miércoles, 28 de febrero de 2024 11:09 a. m.
Para: 'glozoyae@hotmail.com' &lt;glozoyae@hotmail.com&gt;
Asunto: adeudo a Axalta Powder Coating Systems de México, S. de R.L. de C.V.monto del aduedo $997818.29   Buen día  Sr. GUILLERMO LOZOYA ESTRADA Por medio del presente le informamos que nuestro representado a decidió enviar a nuestro despacho su adeudo, con la intención de llegar a un acuerdo de pago.   Esperamos su comunicación </t>
  </si>
  <si>
    <t>Se revisa direccion la primea no existe y la segunda es una colonia cerrada la cual google no ingresa, correon no dan respuesta</t>
  </si>
  <si>
    <t>De: jesusleal@dcsmexico.com &lt;jesusleal@dcsmexico.com&gt; 
Enviado el: viernes, 1 de marzo de 2024 11:32 a. m.
Para: 'glozoyae@hotmail.com' &lt;glozoyae@hotmail.com&gt;
Asunto: ADEUDO A AXALTA MONTO $997818.29
Sr. Guillermo Lozoya
Por medio del presente, me presento soy el Lic. Leal área jurídica de Axalta, nos pide la Direccion de la Empresa, que tratemos de negocair con Uste el adeudo que presente hasta este momento.
Estamos dispuestos a escuchar oferta de pago a través de un convenio y lograr que su adeudo se termine
Quedo a sus ordenes</t>
  </si>
  <si>
    <t>RECUBRIMIENTOS Y COLOR MAX S DE RL DE CV</t>
  </si>
  <si>
    <t>Estado de Cuenta al 17/02/2023</t>
  </si>
  <si>
    <t>Comp.</t>
  </si>
  <si>
    <t xml:space="preserve">Cliente </t>
  </si>
  <si>
    <t xml:space="preserve">Nombre </t>
  </si>
  <si>
    <t>Doc.no.</t>
  </si>
  <si>
    <t xml:space="preserve">Asignación </t>
  </si>
  <si>
    <t>Texto</t>
  </si>
  <si>
    <t>Fecha Doc.</t>
  </si>
  <si>
    <t>Fecha vencimiento</t>
  </si>
  <si>
    <t>Monto</t>
  </si>
  <si>
    <t>IVA 16 %</t>
  </si>
  <si>
    <t>Total</t>
  </si>
  <si>
    <t>Moneda</t>
  </si>
  <si>
    <t>LOZOYA ESTRADA GUILLERMO</t>
  </si>
  <si>
    <t>Partial Payment</t>
  </si>
  <si>
    <t>MXN</t>
  </si>
  <si>
    <t>7103065729</t>
  </si>
  <si>
    <t>si le interesa arreglar</t>
  </si>
  <si>
    <t>pagos por semana</t>
  </si>
  <si>
    <t>hable con el sr. Guillermo y quedamos en que acepta el adeudo y realizara pagos de 10,.000.00 por semana se solicito autorizacin al lic carlos jasso, se le solicita cuenta bancaria</t>
  </si>
  <si>
    <t>en espera que se cumpla el plazo de pago en esta semana</t>
  </si>
  <si>
    <t xml:space="preserve">De: Guillermo Lozoya Estrada &lt;glozoyae@hotmail.com&gt;  Enviado el: viernes, 1 de marzo de 2024 12:18 p. m.
Para: jesusleal@dcsmexico.com   Asunto: Re: ADEUDO A AXALTA MONTO $997818.29
 Buen día  
 Me parece perfecto que programemos una llamada para platicarlo y llegar a un acuerdo 
 Quedo en espera de sus comentarios 
Saludos  GL
Enviado desde mi iPhone </t>
  </si>
  <si>
    <t>Guillermo Lozoya Vs Axalta
+52 1 656 419 9944, QUE ESTA REVISANDO LAS ENTRADAS  DE DINERO PERO QUE SIGUE FIRME EN LA PROPUESTA</t>
  </si>
  <si>
    <t>Guillermo Lozoya Vs Axalta
+52 1 656 419 9944, me comenta que esta en reunion y no pudo contestarme le comente del pago que enviara el viernes dice que no le cayeron los pagos que esperaba  pero que este viernes se repone para cumplir con la meta de este mes.</t>
  </si>
  <si>
    <t>Se le envia cuenta bancaria: [5:51 p. m., 12/3/2024] 4758 Guillermo Lozoya Vs Axalta: Buenas tardes
[5:51 p. m., 12/3/2024] 4758 Guillermo Lozoya Vs Axalta: Enterado
[5:51 p. m., 12/3/2024] 4758 Guillermo Lozoya Vs Axalta: Muchas gracias</t>
  </si>
  <si>
    <t>SE ENVIA MENSAJE AL CELULAR DEL DEUDOR
Buen dia sr. Guillermo, espero que se concrete el compromiso de pago como se mencionó la semana pasada, quedo a sus ordenes</t>
  </si>
  <si>
    <t>se recibe el comprobante de pago 5,000.00 se envia al lic jasso</t>
  </si>
  <si>
    <t>marcar el dia viernes 22 de marzo</t>
  </si>
  <si>
    <t>en espera que el dia de mañana realice pago</t>
  </si>
  <si>
    <t>[11:17 a. m., 22/3/2024] Lic Jesús Leal: Buen dia sr. Guillermo , espero contar con su pago el dia de hoy,  Saludos</t>
  </si>
  <si>
    <t>[11:10 a. m., 25/3/2024] Lic Jesús Leal: es</t>
  </si>
  <si>
    <t>[11:11 a. m., 25/3/2024] 4758 Guillermo Lozoya Vs Axalta: Ben dos Lic</t>
  </si>
  <si>
    <t>[11:11 a. m., 25/3/2024] 4758 Guillermo Lozoya Vs Axalta: Sabe q no me liberaron pago el fin de semana</t>
  </si>
  <si>
    <t>[11:11 a. m., 25/3/2024] 4758 Guillermo Lozoya Vs Axalta: Pero eso ando revisando ahorita con el cliente</t>
  </si>
  <si>
    <t>[11:11 a. m., 25/3/2024] 4758 Guillermo Lozoya Vs Axalta: Más tarde me vuelvo a comunicar con usted para ver lo del pago pendiente</t>
  </si>
  <si>
    <t>[11:11 a. m., 25/3/2024] Lic Jesús Leal: de acuerdo quedo a sus ordenes</t>
  </si>
  <si>
    <t>[11:30 a. m., 26/3/2024] Lic Jesús Leal: Buen dia Sr,. Guillermo algun avance de pago, quedo a sus ordenes</t>
  </si>
  <si>
    <t>[11:19 a. m., 27/3/2024] Lic Jesús Leal: Buen dia sr. Guillermo , esperamos su respuesta como lo platcamos via telefonica</t>
  </si>
  <si>
    <t>[9:06 a. m., 1/4/2024] Lic Jesús Leal: Buen dia sr. Guillermo no tengo su compromiso de pago como me comento via telefonica. quedo en espera de su comprobante de pago.  Saludos
[9:11 a. m., 1/4/2024] 4758 Guillermo Lozoya Vs Axalta: Buen día Lic
[9:11 a. m., 1/4/2024] 4758 Guillermo Lozoya Vs Axalta: En espera q se encuentre de lo mejor
[9:12 a. m., 1/4/2024] 4758 Guillermo Lozoya Vs Axalta: Sabe q se nos movieron los pagos q nos iba hacer nuestro cliente
[9:12 a. m., 1/4/2024] 4758 Guillermo Lozoya Vs Axalta: Pero esta semana ya tenemos fecha de pago para realizarle trabfer esta semana
[9:12 a. m., 1/4/2024] Lic Jesús Leal: de acuerdo espero su rrespuesta favorable,  Saludos</t>
  </si>
  <si>
    <t>[10:34 a. m., 8/4/2024] Lic Jesús Leal: Buen dia sr. Guillermo no se ha cumplido lo que quedamos, espero contar con su pago el dia de hoy</t>
  </si>
  <si>
    <t>Se marca el proximo lunes para presionar</t>
  </si>
  <si>
    <t>[11:33 a. m., 15/4/2024] Lic Jesús Leal: Buen dia sr,. GUillermo espero tener su pago  quedo a sus ordenes</t>
  </si>
  <si>
    <t>SE ENVIA MENSAJE AL CELULAR DEL DEUDOR</t>
  </si>
  <si>
    <t>[10:29 a. m., 17/4/2024] Lic Jesús Leal: Buen dia , sr. Guillermo quedo en espera de su siguiente pago como se acordó , quedo a sus ordenes</t>
  </si>
  <si>
    <t>[9:46 a. m., 19/4/2024] Lic Jesús Leal: Buen dia sr. Guillermo, espero contar con su pago el dia de hoy, segun lo acordado</t>
  </si>
  <si>
    <t>[10:58 a. m., 22/4/2024] Lic Jesús Leal: Buen dia sr. Guillermo espero contar con su pago el dia de hoy,  Saludos</t>
  </si>
  <si>
    <t>[11:55 a. m., 24/4/2024] Lic Jesús Leal: Buen dia sr. Guillermo ya no tuve respuesta de pago. quedo a sus ordenes</t>
  </si>
  <si>
    <t>[9:57 a. m., 25/4/2024] Lic Jesús Leal: Buen dia sr. GUillermo no tengo respuesta de pago como acordamos pagos semanales</t>
  </si>
  <si>
    <t>[11:11 a. m., 26/4/2024] Lic Jesús Leal: Buen dia sr. Guillermo espero contar con su pago el dia de hoy,  saludos</t>
  </si>
  <si>
    <t>[11:27 a. m., 29/4/2024] Lic Jesús Leal: Buen dia sr. Guillermo espero contar con su pago, el trato fue por semana y no se ha cumplido,  el cliente esta muy molesto porque dice que asi era cuando el cobraba</t>
  </si>
  <si>
    <t>[11:03 a. m., 30/4/2024] Lic Jesús Leal: Alguna novedad sr. guillermo ya no me comento del pago. quedo a sus ordenes</t>
  </si>
  <si>
    <t>Se recibe el comprobante de pago 2,500.00 se envia al lic jasso</t>
  </si>
  <si>
    <t>[12:10 p. m., 3/5/2024] Lic Jesús Leal: Buen dia sr. Guillermo espero contar con su pago el dia de hoy,  Saludos</t>
  </si>
  <si>
    <t>[1:00 p. m., 6/5/2024] Lic Jesús Leal: buen dia alguna novedad del sig. Pago</t>
  </si>
  <si>
    <t>Sabe q estamos esperando el pago q íbamos a recibir el sábado para hoy o mañana por eso no le he enviado aún</t>
  </si>
  <si>
    <t>[11:01 a. m., 7/5/2024] Lic Jesús Leal: Buen día sr. Guillermo alguna novedad de su pago, quedo a sus ordenes</t>
  </si>
  <si>
    <t>[11:55 a. m., 9/5/2024] 4758 Guillermo Lozoya Vs Axalta: Buen día
[11:55 a. m., 9/5/2024] 4758 Guillermo Lozoya Vs Axalta: El día de hoy le envío pago Lic</t>
  </si>
  <si>
    <t>[12:53 p. m., 10/5/2024] Lic Jesús Leal: Buen sr. Guillermo no tengo su comprobante de pago</t>
  </si>
  <si>
    <t>[8:08 a. m., 13/5/2024] 4758 Guillermo Lozoya Vs Axalta: Buen día Lic
[8:08 a. m., 13/5/2024] 4758 Guillermo Lozoya Vs Axalta: No le pude hacer la transferencia ese día
[8:08 a. m., 13/5/2024] Lic Jesús Leal: a sus ordenes
[8:09 a. m., 13/5/2024] 4758 Guillermo Lozoya Vs Axalta: Pero hoy tengo q hacer cuantas de todos los pagos q tenemos q hacer para hacerle hoy también su transferencia</t>
  </si>
  <si>
    <t>comenta en audio que esta semana nos envia un comprobante de pago</t>
  </si>
  <si>
    <t>[12:53 p. m., 15/5/2024] Lic Jesús Leal: Buen día Sr GUillermo espero comtar con su pago</t>
  </si>
  <si>
    <t>12:59 p. m., 16/5/2024] Lic Jesús Leal: Buen dia Sr. Guillermom no recibo su pago, quedo a sus ordenes</t>
  </si>
  <si>
    <t>[12:03 p. m., 17/5/2024] Lic Jesús Leal: Buen dia Sr. Guillermo espero contar con su pago el dia der hoy</t>
  </si>
  <si>
    <t>Se le envio audio presionando para que pague</t>
  </si>
  <si>
    <t>comenta el deudor que cantidad aceptaria el cliente en una solo pago. Le comento que ofrezca el para comenter, que va a ver cuanto ofrece y en esta semana nos comenta el pago de la cuenta total.  Nos dara esta semana</t>
  </si>
  <si>
    <t>en espera de propuesta de pago de la cuenta lic jasso dio autorizacion en negociar</t>
  </si>
  <si>
    <t>[12:13 p. m., 23/5/2024] Lic Jesús Leal: Buen dia sr. Guillermo no tengo su respuesta a lo que comentamos en esta semana, nos marco el dia de hoy mi cliente y pide algun avance a lo ofrecido por Usted</t>
  </si>
  <si>
    <t>[12:07 p. m., 24/5/2024] Lic Jesús Leal: Buen dia , en espera de respuesta de pago, quedo a sus ordenes</t>
  </si>
  <si>
    <t>[12:48 a. m., 27/5/2024] 4758 Guillermo Lozoya Vs Axalta: Buenas noches Lic. No se realizó pago este viernes q pasó ya q nos movieron pago para el lunes a medio día por lo cual estaría haciendo pago el lunes y próximo viernes recibimos otro pago y realizaríamos otro pago más
[9:46 a. m., 27/5/2024] Lic Jesús Leal: Buen dia sr. Lozoya, espero contar con su pago y en cuanto a la propuesta, me acaban de marcar la Gente de Azalta y me comenta que como va, espero tener ambas respuestas el dia de hyo.  Saludos</t>
  </si>
  <si>
    <t>se recibe pago por 2,500.00  se envia a lic jasso</t>
  </si>
  <si>
    <t>En espera que realice el sig pago según deudor en esta semana</t>
  </si>
  <si>
    <t xml:space="preserve">Según comentario del deudor esta semana realizara otro pago, dice que esta trabajando el prestamo en el mes de junio, esta recuperando su cartera que espera resolver el pago con unos clientes, </t>
  </si>
  <si>
    <t>En espera de respuesta de pago en esta semana</t>
  </si>
  <si>
    <t>[9:44 a. m., 3/6/2024] Lic Jesús Leal: Buen dia sr. Guillermo no se recibio pago como comento la semana pasada, quedo al pendiente</t>
  </si>
  <si>
    <t>Se recibe pago por 5,000.00| se envia a lic jasso</t>
  </si>
  <si>
    <t>Se marca este viernes 7 de junio</t>
  </si>
  <si>
    <t>[12:26 p. m., 7/6/2024] Lic Jesús Leal: Buen dia , esperamos contar con su pago el dia dehoy, quedo al pendiente saludos</t>
  </si>
  <si>
    <t>[8:56 a. m., 10/6/2024] 4758 Guillermo Lozoya Vs Axalta: Buen día
[8:56 a. m., 10/6/2024] 4758 Guillermo Lozoya Vs Axalta: El día de hoy debemos de recibir pago para realizarle pago</t>
  </si>
  <si>
    <t>[10:07 a. m., 11/6/2024] Lic Jesús Leal: Buen dia esperamos contar con su pago el dia de Hoy, quedo a sus ordenes</t>
  </si>
  <si>
    <t>[8:59 a. m., 12/6/2024] 4758 Guillermo Lozoya Vs Axalta: Buen día Lic
[8:59 a. m., 12/6/2024] Lic Jesús Leal: Buen dia,
[8:59 a. m., 12/6/2024] Lic Jesús Leal: a sus ordenes
[9:00 a. m., 12/6/2024] 4758 Guillermo Lozoya Vs Axalta: El día de hoy queda ya su transferencia
[9:00 a. m., 12/6/2024] 4758 Guillermo Lozoya Vs Axalta: Una disculpa por no poder el día de ayer
[9:00 a. m., 12/6/2024] Lic Jesús Leal: de acuerdo, estoy al pendiente de su comprobante  Saludos</t>
  </si>
  <si>
    <t>Semarca este martes para ver avance de proximopago</t>
  </si>
  <si>
    <t>[11:02 a. m., 18/6/2024] Lic Jesús Leal: Buen dia , que avance me tiene para el siguiente pago.  Volvieron a insistir en la promesa que comento.</t>
  </si>
  <si>
    <t>Se reporta y comenta que esta semana realiza pago se marca este jueves</t>
  </si>
  <si>
    <t>En espera que para el dia de mañna puedan realizar pago</t>
  </si>
  <si>
    <t>en espera de recibir su pago el dia de hoy</t>
  </si>
  <si>
    <t>Buen dia sr. Guillermo, esperamos recibir su pago el dia de hoy,  saludos</t>
  </si>
  <si>
    <t>[10:21 a. m., 25/6/2024] Lic Jesús Leal: Buen dia , sr. Guillermo, estamos en espera de respuesta de pago</t>
  </si>
  <si>
    <t>[6:21 p. m., 25/6/2024] 4758 Guillermo Lozoya Vs Axalta: Buen día Lic
[6:21 p. m., 25/6/2024] 4758 Guillermo Lozoya Vs Axalta: Una disculpa por no contestarle ayer
[6:22 p. m., 25/6/2024] 4758 Guillermo Lozoya Vs Axalta: Sabe q estamos en espera de pago deje nada más hablo con mis clientes para ver los pagos y le genero transfer</t>
  </si>
  <si>
    <t>[2:55 PM, 6/28/2024] Lic Jesús Leal: Buen dia en espera de su comprobante de pago.  Saludos</t>
  </si>
  <si>
    <t>[8:29 a. m., 1/7/2024] 4758 Guillermo Lozoya Vs Axalta: Buen día Lic
[8:29 a. m., 1/7/2024] 4758 Guillermo Lozoya Vs Axalta: Una disculpa por no haber contestado antes
[8:30 a. m., 1/7/2024] 4758 Guillermo Lozoya Vs Axalta: Sabe q no le he mandado pago ya q nos movieron pago para este mes
[8:30 a. m., 1/7/2024] 4758 Guillermo Lozoya Vs Axalta: En este mes me repongo con las semanas q no le he generado pago</t>
  </si>
  <si>
    <t>[10:04 a. m., 3/7/2024] Lic Jesús Leal: Buen dia, me esta cuestionando el cliente sobre sus pagos, que no se ha cumplido lo comentado via telefonía, anexo su estado de cuenta. y su ultima fecha, espero contar con pago el dia de hoy</t>
  </si>
  <si>
    <t xml:space="preserve">Envia audio y comenta que para cubrir estas semanas de atraso espera que a principios del de la seguna quincena de Julio pueda realizar pago. 20 de Julio, </t>
  </si>
  <si>
    <t>Buen dia , seguimos al espera de su comprobante de pago,</t>
  </si>
  <si>
    <t>[5:45 p. m., 11/7/2024] 4758 Guillermo Lozoya Vs Axalta: Buen día Lic
[5:46 p. m., 11/7/2024] 4758 Guillermo Lozoya Vs Axalta: Una disculpa por no contestar antes
[5:46 p. m., 11/7/2024] 4758 Guillermo Lozoya Vs Axalta: Sabe q como le comentaba en el mensaje anterior próxima semana se nos libera pago primero Jehová
[5:46 p. m., 11/7/2024] 4758 Guillermo Lozoya Vs Axalta: Esa semana estaríamos abonando por las semanas q no lo hemos echo
[5:47 p. m., 11/7/2024] Lic Jesús Leal: Correcto, qued</t>
  </si>
  <si>
    <r>
      <rPr>
        <sz val="10"/>
        <rFont val="Arial"/>
        <family val="2"/>
      </rPr>
      <t xml:space="preserve">Esa semana estaríamos abonando por las semanas q no lo hemos echo
Correcto, quedo a la espera, buenas tardes
</t>
    </r>
    <r>
      <rPr>
        <sz val="10"/>
        <color rgb="FFFF0000"/>
        <rFont val="Arial"/>
        <family val="2"/>
      </rPr>
      <t>Buen dia estamos a la espera de su pago.  Saludos</t>
    </r>
  </si>
  <si>
    <t>en espera que pague en esta semana según comentario de la semana pasada</t>
  </si>
  <si>
    <t>Buen día Lic   Este fin de semana no se realizó depósito por q nuestro cliente no alcanzó a realizar pago el fin de semana pero hoy debe de quedar nuestro pago   Para realizarle transfer</t>
  </si>
  <si>
    <t>[9:18 a. m., 23/7/2024] Lic Jesús Leal: Buen dia , Espero contar con su pago el dia de hoy.</t>
  </si>
  <si>
    <t>[11:02 a. m., 24/7/2024] Lic Jesús Leal: Seguimos en espera de su comprobante de pago, que comento desde la semana antepasada que se realizara el dia 20 de este mes y ya estamos 24 de julio</t>
  </si>
  <si>
    <t>en espera que cumpla esta semana el pago</t>
  </si>
  <si>
    <t>[9:13 a. m., 26/7/2024] Lic Jesús Leal: Buen dia ya estamos a 26 de Julio y no tengo su pago que comento</t>
  </si>
  <si>
    <t>Se recibe comproobante de pago por 9000.00</t>
  </si>
  <si>
    <t>Se marca la proximo viernes para ver avance de pago</t>
  </si>
  <si>
    <t>se envia whatsapp
Buen dia, que me comenta al siguiente pago, como se acordo que serian semanales</t>
  </si>
  <si>
    <t>[9:35 a. m., 5/8/2024] Lic Jesús Leal: Buen dia, no tengo respuesta de pago.</t>
  </si>
  <si>
    <t>[10:42 a. m., 7/8/2024] Lic Jesús Leal: Buen dia , seguimos en espera de pago a mi representado</t>
  </si>
  <si>
    <t>[10:17 a. m., 8/8/2024] Lic Jesús Leal: Buen dia , no recibo respuesta de pago, aun tiene mucho saldo su cuenta. quedo a sus ordenes</t>
  </si>
  <si>
    <t>ESTAN EN ESPERA DE PAGO PARA LA PROXIMA SEMANA CON PAGO PARA BAJAR EL SALDO DE LA CUENTA.  AUDIO ENVIADO EL DIA DE AYER</t>
  </si>
  <si>
    <t>[9:37 a. m., 16/8/2024] Lic Jesús Leal: Buen dia espero contar con su pago el dia de hoy.</t>
  </si>
  <si>
    <t>[9:29 a. m., 19/8/2024] Lic Jesús Leal: Buen dia No recibimos pago, esperamos tener hoy mismo el comprobante</t>
  </si>
  <si>
    <t>[10:34 AM, 8/20/2024] Lic Jesús Leal: Buen dia seguismos en espera de respuesta de pago,  saludos</t>
  </si>
  <si>
    <t>No responde a los mensajes  se envia de nuevo</t>
  </si>
  <si>
    <t>Responde el deudor que en esta semana realiza pago</t>
  </si>
  <si>
    <t>Buen dia espero contar con su pago el dia de hoy como lo menciono el miercoles de esta semana</t>
  </si>
  <si>
    <t>[9:05 a. m., 26/8/2024] Lic Jesús Leal: Buen dia sr. Guillermo quedo en enviar pago la semana pasada y no se obtuvo su comprobante, espero contar el dia de hoy con él.</t>
  </si>
  <si>
    <t>[9:35 a.m., 27/8/2024] Lic Jesús Leal: Buen día, no tengo respuesta de pago,  quedo a sus órdenes
[1:22 p.m., 27/8/2024] Lic Jesús Leal: Buenas tardes, espero contar con su pago el dia de hoy.  Saludos</t>
  </si>
  <si>
    <t>[9:41 a.m., 28/8/2024] 4758 Guillermo Lozoya Vs Axalta: Buen día Lic. Se que ya nos demoramos un poco con el siguiente pago solo q estamos esperando respuesta hoy de nuestro pago
[9:41 a.m., 28/8/2024] 4758 Guillermo Lozoya Vs Axalta: El día de hoy le confirmo transfer ya que hasta hoy me tienen q contestar
[9:41 a.m., 28/8/2024] 4758 Guillermo Lozoya Vs Axalta: El pago q tiene pendiente mi cliente</t>
  </si>
  <si>
    <t>11:46 a.m., 30/8/2024] Lic Jesús Leal: Espero contar con su pago el dia de hoy.  saludos</t>
  </si>
  <si>
    <t>[9:23 a.m., 2/9/2024] Lic Jesús Leal: Buen dia espero contar con su pago que comento la semana pasada,  que no quede en promesa</t>
  </si>
  <si>
    <t>[9:38 a.m., 3/9/2024] Lic Jesús Leal: Bue ndia, no se tiene respuesta de pago , quedo a sus ordenes y en espera del comprobante</t>
  </si>
  <si>
    <t>Envia audio y se compromete para este fin de semana realizar pago</t>
  </si>
  <si>
    <t>[12:17 PM, 9/6/2024] Lic Jesús Leal: Espero contar con su pago el dia de hoy.</t>
  </si>
  <si>
    <t>Buen día, en su comentario del miercoles pasado me dice que realizara pago el sabado y no se recibe su comprobante, asi ya llevamos todo el tiempo con FALSAS PROMESAS DE PAGO. espero tener su pago el dia de hoy.</t>
  </si>
  <si>
    <t>NO LOGRARON DEPOSITAR QUE HOY DEBE DE QUEDAR EL PAGO Y NOS ENVIA EL COMPROBANTE</t>
  </si>
  <si>
    <t>[9:46 a.m., 11/9/2024] Lic Jesús Leal: Buen dia sr. Guillermo, seguimos sin avanzar en pago quedo en la semana pasada y no tenemos respuesta</t>
  </si>
  <si>
    <t>[9:35 AM, 9/13/2024] Lic Jesús Leal: Buen dia, espero contar con su pago el dia de hoy.</t>
  </si>
  <si>
    <t>[9:46 AM, 9/12/2024] en espera que cumpla esta semana el pago</t>
  </si>
  <si>
    <t>[8:50 a.m., 16/9/2024] 4758 Guillermo Lozoya Vs Axalta: Buen día Lic, una disculpa nuevamente por la demora en nuestro abono a la cuenta pendiente
[8:51 a.m., 16/9/2024] 4758 Guillermo Lozoya Vs Axalta: Cómo puede observar en las fotos siguen trabajando en nuestro caso, me comentan q esta semana ya queda resuelto y de esa forma por de continuar con los abonos</t>
  </si>
  <si>
    <t>se marca el dia de mañana</t>
  </si>
  <si>
    <t>[10:36 a.m., 19/9/2024] Lic Jesús Leal: Espero tener respuesta de pago,  saludos</t>
  </si>
  <si>
    <t>En espera de pago el dia de hoy</t>
  </si>
  <si>
    <t>[8:24 a.m., 23/9/2024] 4758 Guillermo Lozoya Vs Axalta: Buen dia lic ya estamos en la parte final de arreglar este problema con mi cliente entre hoy y mañana ya para generarle pago y reactivarnos semana con semana una disculpa por la demora
[8:45 a.m., 23/9/2024] Lic Jesús Leal: buen dia, de acuerdo, espero su comprobante</t>
  </si>
  <si>
    <t>[9:06 a. m., 25/9/2024] Lic Jesús Leal: Buen dia que me comenta del pago para el dia de hoy,  Saludos</t>
  </si>
  <si>
    <t>que ya hablo con su cliente, para que le dieran un respuesta y para mañana tiene un comprobante de pago.</t>
  </si>
  <si>
    <t>[9:48 a.m., 27/9/2024] Lic Jesús Leal: Buen dia espero su respuesta de pago el dia de hoy.</t>
  </si>
  <si>
    <t>Se marca este viernes 4 de Octubre</t>
  </si>
  <si>
    <t>[10:41 a.m., 4/10/2024] Lic Jesús Leal: Buen dia , espero ya se haya resuelto su inconveniente con la empresa y podamos recibir su pago el dia de hoy</t>
  </si>
  <si>
    <t>9:40 a.m., 7/10/2024] Lic Jesús Leal: Buen dia, esperamos contar con su pago , como lo ha venido comentando,  saludos</t>
  </si>
  <si>
    <t>[12:17 p.m., 8/10/2024] Lic Jesús Leal: Buen dia el 30 de sep me comento que en esta semana ya quedaba resuelto su asunto y que nos haria un pago. quedo a sus ordenes</t>
  </si>
  <si>
    <t>tel. 656 419 9944  Guillermo Lozoya, que hablo con su cliente perono le tienen respuesta, pero lo tienen esperando johnson &amp;johnson, espera esta semana. Tienen muchos problemas conmas proveedores.</t>
  </si>
  <si>
    <t xml:space="preserve">En espera de respuesta de pago proxima semana, según comentario del deudor </t>
  </si>
  <si>
    <t>Buen dia Espero contar con su pago el dia de hoy, saludos</t>
  </si>
  <si>
    <t>[9:09 AM, 10/15/2024] Lic Jesús Leal: Buen dia Algun comentario al pago , q
[9:09 AM, 10/15/2024] Lic Jesús Leal: quedo a sus ordenes</t>
  </si>
  <si>
    <t>[6:46 p.m., 15/10/2024] 4758 Guillermo Lozoya Vs Axalta: Buen día Lic.
[6:47 p.m., 15/10/2024] 4758 Guillermo Lozoya Vs Axalta: Como le habíamos comentado estamos en espera q nos resuelvan esta semana
[6:47 p.m., 15/10/2024] 4758 Guillermo Lozoya Vs Axalta: Esperamos en Jehová Dios q esta semana ya nos resuelvan para mandarle depósito</t>
  </si>
  <si>
    <t>[10:02 a. m., 21/10/2024] Lic Jesús Leal: Buen dia, sr.guillermo no recibimos su pago como lo argumento el dia martes de la semana pasada
[10:02 a. m., 21/10/2024] Lic Jesús Leal: Esperamos contar con el, el dia de hoy-.</t>
  </si>
  <si>
    <t>[10:55 a. m., 23/10/2024] Lic Jesús Leal: Buen día  , no recibí su confirmación de pago</t>
  </si>
  <si>
    <t>No hay respuesta de pago unicamente alarga eltiempo de pago</t>
  </si>
  <si>
    <t>[8:54 a.m., 25/10/2024] Lic Jesús Leal: Buen dia en espera de su comprobante de pago</t>
  </si>
  <si>
    <t>[10:58 a.m., 28/10/2024] Lic Jesús Leal: buen día,  no recibí su pago sr. Guillermo</t>
  </si>
  <si>
    <t>se recibe pago por 5000.00</t>
  </si>
  <si>
    <t>Se marca proxima semana</t>
  </si>
  <si>
    <t>[10:15 p.m., 28/10/2024] 4758 Guillermo Lozoya Vs Axalta: Buenas noches Lic
[10:15 p.m., 28/10/2024] 4758 Guillermo Lozoya Vs Axalta: Le envío pago parcial
[10:15 p.m., 28/10/2024] 4758 Guillermo Lozoya Vs Axalta: El viernes le mando otro
[10:15 p.m., 28/10/2024] 4758 Guillermo Lozoya Vs Axalta: Ya que ese día queda nuestro pago listo</t>
  </si>
  <si>
    <t>[9:41 a.m., 1/11/2024] Lic Jesús Leal: Buen dia espero contar con su pago como lo menciona en su comentario,  Saludos</t>
  </si>
  <si>
    <t>[11:11 a. m., 4/11/2024] Lic Jesús Leal: Buen dia sr. Guillermo , no obtuvimos la respuesta de pago, quedo a sus ordenes</t>
  </si>
  <si>
    <t>[9:33 a.m., 5/11/2024] Lic Jesús Leal: Buen dia sr. guillermo no tengo su respuesta de pago.</t>
  </si>
  <si>
    <t>En espera de respuesta a mensaje enviado el dia de hoy</t>
  </si>
  <si>
    <t>Se comprometio a realizar pago en cuanto tenga su pago, según le han quedado muy mal unos clientes</t>
  </si>
  <si>
    <t>[9:55 a.m., 11/11/2024] Lic Jesús Leal: Buen dia tenemos toda la semana en espera de su pago. y no se recibe, quedo a sus ordenes}.</t>
  </si>
  <si>
    <t>En espera de respuesta de pago.</t>
  </si>
  <si>
    <t>RESPUESTA DEL DEUDOR: es}.
Buen día Lic
A sus órdenes
Mire andamos en espera de pago y ya primero Dios estas semana recibimos uno ya para retomar el pendiente q tenemos  nos hemos atrasado un poco estas semanas ya q estamos cerrando jales ahorita por q ya viene el cierre de año pero ya los pagos de nuestros clientes van a hacer más frecuentes por eso mismo y por ello ya para tener pago más frecuentes con ustedes también</t>
  </si>
  <si>
    <t>tel.- 656 419 9944, no contesta se envia whtasapp
[10:41 AM, 11/15/2024] 4758 Guillermo Lozoya Vs Axalta: Me agarró en junta Lic
[10:41 AM, 11/15/2024] 4758 Guillermo Lozoya Vs Axalta: Con cliente
[10:41 AM, 11/15/2024] Lic Jesús Leal: Buen dia Esperamos contar con su pago el dia de hoy
[10:41 AM, 11/15/2024] 4758 Guillermo Lozoya Vs Axalta: Buen día</t>
  </si>
  <si>
    <t>tel.- 656 419 9944, no contesta se envia whtasapp</t>
  </si>
  <si>
    <t>[9:34 a.m., 19/11/2024] Lic Jesús Leal: Buen dia No tenemos respuesta de pago , espero contar con el, el dia de hoy,  Saludos</t>
  </si>
  <si>
    <t>En espera de respuesta de pago</t>
  </si>
  <si>
    <t>Comenta en audio que esa esperando le realicen pago para cubrir el adeudo</t>
  </si>
  <si>
    <t>[9:35 a.m., 26/11/2024] Lic Jesús Leal: Buen dia seguimos en espera de cumplimiento de promesas de pago,</t>
  </si>
  <si>
    <t>No se tiene respuesta por parte del deudor, esperemos esta seman se realice el deposito-.</t>
  </si>
  <si>
    <t>[9:40 a.m., 28/11/2024] Lic Jesús Leal: Buen dia. Sr. Guillermo no tenemos respuesta de pago</t>
  </si>
  <si>
    <t>En espera de respuestqa de pago según el audio enviado por el deudor</t>
  </si>
  <si>
    <t>Se le adjunta el saldo de su cuenta al whatsapp</t>
  </si>
  <si>
    <t>Lee los mensajes pero no responde se envia de nuevo mensaje</t>
  </si>
  <si>
    <t>Buen dia , seguimos en espera de su pago.  Saludos</t>
  </si>
  <si>
    <t>En espera de respuesta de pago, se envia estado de cuenta al deudor</t>
  </si>
  <si>
    <t>[10:13 a.m., 5/12/2024] 4758 Guillermo Lozoya Vs Axalta: Buen día Lic, como le comentaba la semana pasada estamos esperando pago de hoy a mañana para poder realizarle depósito, primero Dios esta semana le mando comprobante
[10:18 a.m., 5/12/2024] Lic Jesús Leal: El cliente esta molestao ya que dice que al paso que lleva en cuanto a los pagos se tardará unos 10 años.  Espera incremento en los montos
[10:19 a.m., 5/12/2024] Lic Jesús Leal: Ha pagado 44,000 y restante 953,818</t>
  </si>
  <si>
    <t>se marca la proxima semana</t>
  </si>
  <si>
    <t>SE MARCA ESTE FIN DE SEMANA</t>
  </si>
  <si>
    <t>Buen dia, en esperta de pago en este mes de dic.</t>
  </si>
  <si>
    <t>[9:23 a.m., 30/12/2024] Lic Jesús Leal: Buen dia sr. Lozoya, espero contar con su pago el dia de hoy,</t>
  </si>
  <si>
    <t>[9:14 a.m., 2/1/2025] Lic Jesús Leal: Buen dia, espero contar con su pago el dia de hoy.</t>
  </si>
  <si>
    <t>[9:57 a.m., 3/1/2025] Lic Jesús Leal: Buen dia sr. GUillermo, espero contar con su pago el dia de hoy</t>
  </si>
  <si>
    <t>Se recibe pagopor 5,000.00 se envia al lic jasso</t>
  </si>
  <si>
    <t>Marcar el dia 15 de enero</t>
  </si>
  <si>
    <t>[9:22 a.m., 13/1/2025] Lic Jesús Leal: Buen dia, espero contar con su pago el dia de hoy, Saludos</t>
  </si>
  <si>
    <t>EN ESPERA DE RESPUESTA DE MENSAJE ENVIADO AYER</t>
  </si>
  <si>
    <t>[11:08 a.m., 15/1/2025] Lic Jesús Leal: Buen dia, espero contar con su respuesta de pago su saldo es de 943,818.29</t>
  </si>
  <si>
    <t>No lee los mensajes se insiste en whatsapp</t>
  </si>
  <si>
    <t>[11:11 a.m., 17/1/2025] Lic Jesús Leal: Buen dia , esperamos su comprobante de pago Saludos</t>
  </si>
  <si>
    <t>[9:07 a.m., 20/1/2025] Lic Jesús Leal: Buen dia sr. Guillermo, espero contar con su pago el dia de hoy</t>
  </si>
  <si>
    <t>[8:58 a.m., 21/1/2025] 4758 Guillermo Lozoya Vs Axalta: Buen día Lic
[8:58 a.m., 21/1/2025] 4758 Guillermo Lozoya Vs Axalta: Una disculpa de antemano por no contestar
[8:59 a.m., 21/1/2025] Lic Jesús Leal: buen dia
[8:59 a.m., 21/1/2025] 4758 Guillermo Lozoya Vs Axalta: Esta semana estamos esperando pago para viernes sábado
[8:59 a.m., 21/1/2025] 4758 Guillermo Lozoya Vs Axalta: Esta semana le mandamos comprobante de pago
[8:59 a.m., 21/1/2025] Lic Jesús Leal: de acuerdo Quedo al pendiente  Gracias</t>
  </si>
  <si>
    <t>[8:58 a.m., 21/1/2025] 4758 Guillermo Lozoya Vs Axalta: Buen día Lic
[8:58 a.m., 21/1/2025] 4758 Guillermo Lozoya Vs Axalta: Una disculpa de antemano por no contestar
[8:59 a.m., 21/1/2025] Lic Jesús Leal: buen dia
[8:59 a.m., 21/1/2025] 4758 Guillermo Lozoya Vs Axalta: Esta semana estamos esperando pago para viernes sábado
[8:59 a.m., 21/1/2025] 4758 Guillermo Lozoya Vs Axalta: Esta semana le mandamos comprobante de pago</t>
  </si>
  <si>
    <t>Se tiene promesa para este viernes 24 de enero</t>
  </si>
  <si>
    <t>[10:18 a.m., 24/1/2025] Lic Jesús Leal: Buen dia , espero contar con su pago el dia de hoy, Saludos</t>
  </si>
  <si>
    <t>[10:02 a.m., 27/1/2025] 4758 Guillermo Lozoya Vs Axalta: Buen día
[10:02 a.m., 27/1/2025] 4758 Guillermo Lozoya Vs Axalta: El día de hoy se genera pago
[10:03 a.m., 27/1/2025] 4758 Guillermo Lozoya Vs Axalta: Nos movieron el pago para hoy</t>
  </si>
  <si>
    <t xml:space="preserve"> se enia whatsapp' 
Buen dia , espero contar con su pago eldia de hoy, Saludos</t>
  </si>
  <si>
    <t>en espera de visita</t>
  </si>
  <si>
    <t>[11:31 a.m., 30/1/2025] Lic Jesús Leal: Buen dia quedo en realizar pago la semana pasada y no recibimos su comprobante , espero contar el dia de hoy .</t>
  </si>
  <si>
    <t>[8:40 a.m., 4/2/2025] 4758 Guillermo Lozoya Vs Axalta: Buen día Lic. 
Hemos estado batallando con unos pagos de nuestro cliente por esa razón no le hemos echo depósito, hoy tengo junta con ellos déjeme ver q resuelvo hoy para ya hacerle transfer</t>
  </si>
  <si>
    <t>[12:59 p.m., 7/2/2025] Lic Jesús Leal: Ya es viernes y no recibí su pago</t>
  </si>
  <si>
    <t>[9:39 AM, 2/10/2025] 4758 Guillermo Lozoya Vs Axalta: Seguimos trabajando en lo q le comenté de pago único para llegar a un acuerdo
[9:39 AM, 2/10/2025] 4758 Guillermo Lozoya Vs Axalta: No hemos descartado esa opción
[9:40 AM, 2/10/2025] 4758 Guillermo Lozoya Vs Axalta: Simplemente pido que me den oportunidad de trabajar aquí con los clientes q tenemos para poder solucionar eso
[9:41 AM, 2/10/2025] Lic Jesús Leal: El tiempo que tenemos en contacto siempre a manejando lo mismo, le comentamos al cliente  ya ni nos preguntan
[9:44 AM, 2/10/2025] 4758 Guillermo Lozoya Vs Axalta: Lic les pido que sigan siendo pacientes para poder liquidarles eso pendiente, ya que mire creo que siempre me he mostrado atento a lo q tenemos pendiente y seguimos trabajando para responder por todo
[9:45 AM, 2/10/2025] 4758 Guillermo Lozoya Vs Axalta: Este año tenemos q terminar con eso
[9:45 AM, 2/10/2025] 4758 Guillermo Lozoya Vs Axalta: Simplemente les pido que me den oportunidad de seguir trabajando para poder lograrlo</t>
  </si>
  <si>
    <t>[9:52 a.m., 12/2/2025] Lic Jesús Leal: Buen dia, que avance me tiene en cuanto al pago , quedo a sus ordenes</t>
  </si>
  <si>
    <t>En espera de respuesta al mensaje enviado a su whatsapp</t>
  </si>
  <si>
    <t>[9:40 a.m., 14/2/2025] Lic Jesús Leal: Buen dia , espero contar con su pago el dia de hoy, Saludos</t>
  </si>
  <si>
    <t>[3:37 p.m., 16/2/2025] 4758 Guillermo Lozoya Vs Axalta: Buen día Lic, una disculpa por no generarle pago esta semana pero esta semana entrante tenemos pago de cliente programado, así q esta semana nos ponemos al corriente con usted</t>
  </si>
  <si>
    <t>[9:36 a.m., 24/2/2025] 4758 Guillermo Lozoya Vs Axalta: Buen día Lic
[9:37 a.m., 24/2/2025] Lic Jesús Leal: a sus ordenes
[9:37 a.m., 24/2/2025] Lic Jesús Leal: buen dia
[9:37 a.m., 24/2/2025] 4758 Guillermo Lozoya Vs Axalta: Sabe q el viernes ya no le hicimos el depósito por q no se nos hizo el pago pero ahorita estamos esperando a q se nos refleje pago para poder mandarle comprobante de pago
[9:38 a.m., 24/2/2025] 4758 Guillermo Lozoya Vs Axalta: En el transcurso del día se lo envío
[9:43 a.m., 24/2/2025] Lic Jesús Leal: de acuerdo, quedo al pendiente</t>
  </si>
  <si>
    <t>[9:44 a.m., 25/2/2025] Lic Jesús Leal: Buen dia, espero contar con su pago.</t>
  </si>
  <si>
    <t>[9:26 a.m., 26/2/2025] Lic Jesús Leal: buen día,  ya no recibí su pago</t>
  </si>
  <si>
    <t>Se envia mensaje a su whatsapp</t>
  </si>
  <si>
    <t>9;37</t>
  </si>
  <si>
    <t xml:space="preserve">Se reporta deudor y comenta que este viernes 7 de mar&lt;o tienen promesa de pago </t>
  </si>
  <si>
    <t>[9:46 a.m., 10/3/2025] Lic Jesús Leal: Buen dia Sr, Guillermo, espero contar con su pago, el día de hoy</t>
  </si>
  <si>
    <t>[9:48 a.m., 11/3/2025] Lic Jesús Leal: Buen dia no tengo respuesta del pago que se comprometió a liquidar.</t>
  </si>
  <si>
    <t>Próximos días estamos esperando más pagos y de esta manera enviar otro comprobante de pago</t>
  </si>
  <si>
    <t>COMENTARIO DEL DEUDOR  : Próximos días estamos esperando más pagos y de esta manera enviar otro comprobante de pago</t>
  </si>
  <si>
    <t>se recIBE pago de 5,000.00 se envia a lic jasso</t>
  </si>
  <si>
    <t>[10:17 a.m., 19/3/2025] Lic Jesús Leal: Buen dia, espero contar con su pago el dia de hoy</t>
  </si>
  <si>
    <t>[10:14 a.m., 20/3/2025] Lic Jesús Leal: Buen dia alguna novedad de pago, quedo a sus ordenes</t>
  </si>
  <si>
    <t>Buen día Lic
Una disculpa por no contestar antes
Sabe q estamos esperando pago para hoy o mañana ya para poder realizarle transferencia
Lo mantengo al tanto</t>
  </si>
  <si>
    <t>Se le envia mensaje a su whatsapp  según pagaria otra vez</t>
  </si>
  <si>
    <t>[9:07 a.m., 24/3/2025] 4758 Guillermo Lozoya Vs Axalta: Buen día Lic
[9:07 a.m., 24/3/2025] 4758 Guillermo Lozoya Vs Axalta: Una disculpa por no contestar antes
[9:08 a.m., 24/3/2025] 4758 Guillermo Lozoya Vs Axalta: Sabe q estamos esperando pago para hoy o mañana ya para poder realizarle transferencia
[9:08 a.m., 24/3/2025] 4758 Guillermo Lozoya Vs Axalta: Lo mantengo al tanto</t>
  </si>
  <si>
    <t>En espera de respuesta por parte del deudor</t>
  </si>
  <si>
    <t>Buen dia , Ar. Guillermo, seguimos en espera de su pago , quedo a sus ordenes</t>
  </si>
  <si>
    <t>[10:55 a.m., 1/4/2025] Lic Jesús Leal: Buen dia ,  que me comenta del pago</t>
  </si>
  <si>
    <t>SE REPORTA EL SR. GUILLERMO
[12:13 a.m., 2/4/2025] 4758 Guillermo Lozoya Vs Axalta: Buenas noches Lic, mire ya se q no le he abonado es estos días pero déjeme recibir pago este fin de mi cliente en turno y me reporto</t>
  </si>
  <si>
    <t>En espera de comprobante de pago</t>
  </si>
  <si>
    <t>10:36 a.m., 4/4/2025] Lic Jesús Leal: Buen dia espero contar con su pago el dia de hoy, saludos</t>
  </si>
  <si>
    <t>[9:34 a.m., 7/4/2025] Lic Jesús Leal: Buen dia, espero contar con su pago el dia de hoy,</t>
  </si>
  <si>
    <t>[10:10 a.m., 8/4/2025] Lic Jesús Leal: Buen dia , sigo en espera de su pago como lo menciono el día de ayer</t>
  </si>
  <si>
    <t>[9:02 a.m., 11/4/2025] Lic Jesús Leal: Sr. Guillermo,  desde el martes se comprometio a pagar y no recibo su comprobante</t>
  </si>
  <si>
    <t>RESPUESTA DEL DEUDOR
[8:28 a.m., 14/4/2025] Guillermo Lozoya Vs Axalta: Buen día Lic, si tiene razón desde el día martes quedé de hacerle el pago sabe q tuvimos unos problemas q atender, con los pagos q nos iban a entrar pero ya lo estamos resolviendo hoy para depositarle el día de hoy
[8:28 a.m., 14/4/2025] Guillermo Lozoya Vs Axalta: Una disculpa de antemano</t>
  </si>
  <si>
    <t>Buen día Lic, si tiene razón desde el día martes quedé de hacerle el pago sabe q tuvimos unos problemas q atender, con los pagos q nos iban a entrar pero ya lo estamos resolviendo hoy para depositarle el día de hoy
Una disculpa de antemano
Buen día, me comento el día 14 de abril que realizaría pago y no he recibido su comprobante, espero que hoy quede,  Saludos</t>
  </si>
  <si>
    <t>[9:25 a.m., 22/4/2025] Lic Jesús Leal: Buen dia . Alguna novedad de su pago, quedo al pendiente</t>
  </si>
  <si>
    <t>[8:59 a.m., 23/4/2025] Lic Jesús Leal: Buen dia, no tengo respuesta de pago. quedo al pendiente de sus comentarios</t>
  </si>
  <si>
    <t>[8:04 a.m., 24/4/2025] Guillermo Lozoya Vs Axalta: Buen día Lic
[8:04 a.m., 24/4/2025] Guillermo Lozoya Vs Axalta: El día de hoy le generamos pago una disculpa por la demora se nos complicó un poco
[8:04 a.m., 24/4/2025] Lic Jesús Leal: Buen día
[8:05 a.m., 24/4/2025] Lic Jesús Leal: A sus órdenes
[8:05 a.m., 24/4/2025] Guillermo Lozoya Vs Axalta: Pero hoy le mando comprobante</t>
  </si>
  <si>
    <t>Buen dia , no se recibió el pago el dia de ayer, espero contar el dia de hoy
Buen dia , espero contar con su pago , quedo a sus ordenes
Nos comenta el cliente que prefiere DEMANDAR a continuar con los pequeños pagos que esta manejando que no pagara nunca el saldo,  No espere a que se proceda realice pago y evite gastos innecesarios.</t>
  </si>
  <si>
    <t>Se marca este viernes 2 de mayo</t>
  </si>
  <si>
    <t>[9:01 a. m., 2/5/2025] Lic Jesús Leal: Buen dia, espero contar con pago el dia de hoy.</t>
  </si>
  <si>
    <t>respuesta del deudor : [8:58 a.m., 5/5/2025] Guillermo Lozoya Vs Axalta: Buen día Lic
[8:58 a.m., 5/5/2025] Guillermo Lozoya Vs Axalta: El día de hoy le envío el comprobante de la transfer</t>
  </si>
  <si>
    <t>[9:01 a.m., 6/5/2025] Lic Jesús Leal: Buen dia espero contar con su pago.  Saludos</t>
  </si>
  <si>
    <t>[11:50 a.m., 8/5/2025] Lic Jesús Leal: Buen dia , espero contar con su pago el dia de hoy</t>
  </si>
  <si>
    <t>Se marca este viernes 16 de mayo</t>
  </si>
  <si>
    <t>[9:05 a.m., 15/5/2025] Lic Jesús Leal: Buen dia Sr. Guillermo, espero contar con su siguiente pago.  Saludos</t>
  </si>
  <si>
    <t>Buen día , espero contar con su pago el día de hoy.</t>
  </si>
  <si>
    <t>[11:18 a.m., 19/5/2025] Lic Jesús Leal: Buen dia que me comenta del sig. pago. Saludos</t>
  </si>
  <si>
    <t>[10:13 a.m., 20/5/2025] Lic Jesús Leal: Buen dia , espero contar con su pago,  quedo a sus ordenes</t>
  </si>
  <si>
    <t>[11:42 a.m., 20/5/2025] Guillermo Lozoya Vs Axalta: Buen día Lic
[11:42 a.m., 20/5/2025] Guillermo Lozoya Vs Axalta: Estoy en espera de un pago ahorita
[11:42 a.m., 20/5/2025] Guillermo Lozoya Vs Axalta: Deje nada más q me lo hagan y le envío comprobante
[11:43 a.m., 20/5/2025] Guillermo Lozoya Vs Axalta: Una disculpa por la demora</t>
  </si>
  <si>
    <t>En espera que realice el sig pago según deudor este viernes 23 de mayo</t>
  </si>
  <si>
    <t>[9:16 a.m., 23/5/2025] Lic Jesús Leal: Buen dia ,esperamos que hoy se realice el pago que comento el dia martes de esta semana</t>
  </si>
  <si>
    <t>[8:47 a.m., 26/5/2025] Lic Jesús Leal: Buen dia, no tengo su pago, espero contar con el, el dia de hoy.</t>
  </si>
  <si>
    <t>Se recibe comentario del deudor donde dice que no ha pódido realizar pago que espera que esta semana se envie</t>
  </si>
  <si>
    <t>Mensaje enviado el dia  hoy  7:32 a.m. HOY
Buen dia espero contar con su pago el dia de hoy.</t>
  </si>
  <si>
    <t>se recibe respuesta a las 7:25 am Buen día Lic    Sabe q estoy esperando pago por eso no le he enviado nada de comprobante, déjeme ver q me resuelve hoy la planta para ya envíale eso  7:32 a.m.</t>
  </si>
  <si>
    <t>Buen día Lic 
Estoy esperando ya nada más q me abran el banco para transferirle ya q me entregaron cheque ayer por la tarde ya para depositarlo ahorita y le transfiero, una disculpa por la demora</t>
  </si>
  <si>
    <t>se marca el proximo miercoles 18 para continuar presioandno</t>
  </si>
  <si>
    <t>[10:49 a.m., 12/6/2025] Lic Jesús Leal: Buen dia, esperamos contar con su pago esta 13 de junio, saludos</t>
  </si>
  <si>
    <t>En espera de respuesta a mensaje enviado el dia de ayer</t>
  </si>
  <si>
    <t>[9:46 a.m., 16/6/2025] Lic Jesús Leal: Buen dia Alguna novedad de pago , quedo a sus ordenes</t>
  </si>
  <si>
    <t>[11:40 a.m., 18/6/2025] Lic Jesús Leal: Buen dia , espero contar con su siguiente pago. va muy despacio sus pagos.</t>
  </si>
  <si>
    <t>tiene promesa de pago para el día de  mañana según audio enviado hace unos minutos</t>
  </si>
  <si>
    <t>[9:10 a.m., 20/6/2025] Lic Jesús Leal: Buen dia, espero contar con su pago, saludos</t>
  </si>
  <si>
    <t>[10:03 a.m., 24/6/2025] Lic Jesús Leal: Buen dia, espero contar con su pago esta semana</t>
  </si>
  <si>
    <t xml:space="preserve">Según Audio del deudor va a realizar pago esta semana </t>
  </si>
  <si>
    <t>[9:00 a.m., 27/6/2025] Lic Jesús Leal: Buen dia, estamos esperando respuesta de pago han sido muchos mensajes pero no hay nada concreto de pago</t>
  </si>
  <si>
    <t>[10:31 p.m., 29/6/2025] Guillermo Lozoya Vs Axalta: Buenas noches Lic
[10:32 p.m., 29/6/2025] Guillermo Lozoya Vs Axalta: Mañana sin falta le hacemos llegar ya comprobante de pago</t>
  </si>
  <si>
    <t>[7:38 a.m., 1/7/2025] Guillermo Lozoya Vs Axalta: Buen día Lic, ayer no alcancé a realizarle el depósito pendiente, pero ahorita queda ya, ya estoy revisando eso en este momento</t>
  </si>
  <si>
    <t>Buenos días Lic, una disculpa por la demora sabe q ayer tuve problemas con mi cuenta para hacerle su transfer, pero ya sin falta en unos momentos se la mando, una disculpa enserio por la demora</t>
  </si>
  <si>
    <t>Se recibe pagp por 5,000.00 se envia a lic. jasso</t>
  </si>
  <si>
    <t>se marca el 15 de julio</t>
  </si>
  <si>
    <t>[10:25 a.m., 14/7/2025] Lic Jesús Leal: Buen dia, esperamos contar con su siguiente pago el dia de hoy, Saludos</t>
  </si>
  <si>
    <t>[11:48 a.m., 18/7/2025] Lic Jesús Leal: Buen dia. sr. guillermo alguna novedad de pago. quedo a sus ordenes</t>
  </si>
  <si>
    <t>[8:55 a. m., 21/7/2025] Lic Jesús Leal: Buen dia, espero contar con su pago,  saludos</t>
  </si>
  <si>
    <t>[8:18 a.m., 22/7/2025] Guillermo Lozoya Vs Axalta: Buen día Lic
[8:18 a.m., 22/7/2025] Guillermo Lozoya Vs Axalta: El día de hoy estamos esperando pago para realizarle transfer
[8:18 a.m., 22/7/2025] Guillermo Lozoya Vs Axalta: Le aviso en el transcurso del día</t>
  </si>
  <si>
    <t>[8:50 a.m., 23/7/2025] Lic Jesús Leal: Buen dia Esperamos contar con su pago el dia de hoy,  saludos</t>
  </si>
  <si>
    <t>[8:48 a.m., 25/7/2025] Lic Jesús Leal: Buen dia, esperamos contar con su pago el dia de hoy.  Saludos</t>
  </si>
  <si>
    <t>[8:49 a.m., 28/7/2025] Lic Jesús Leal: Buen dia, seguimos en espera de respuesta pago</t>
  </si>
  <si>
    <t>[8:51 a.m., 28/7/2025] Guillermo Lozoya Vs Axalta: Buen día Lic
[8:51 a.m., 28/7/2025] Guillermo Lozoya Vs Axalta: El día de hoy realizamos pago
[8:51 a.m., 28/7/2025] Guillermo Lozoya Vs Axalta: Al final del día
[8:22 a.m., 29/7/2025] Guillermo Lozoya Vs Axalta: Buen día Lic
[8:22 a.m., 29/7/2025] Guillermo Lozoya Vs Axalta: En un momento le envío comprobante de pago</t>
  </si>
  <si>
    <t>SE ENVIA MENSAJE AL WHATSAPP
Buen dia, en espera de su pago,  saludos</t>
  </si>
  <si>
    <t>se recibe pago 5,000.00 se envio a lic jasso</t>
  </si>
  <si>
    <t>[9:42 a.m., 12/8/2025] Lic Jesús Leal: Buen dia, espero tener pago para esta quincena, quedo a sus ordenes</t>
  </si>
  <si>
    <t>SE ENVIA MENSAJE AÑL WHASTAPP
Buen dia, espero contar con su pago, saludos</t>
  </si>
  <si>
    <t>Buen día Lic
Estamos en espera de pago hoy para realizar transfer
A sus órdenes
Quedo al pendiente
Buen dia espero contar con su pago el dia de hoy</t>
  </si>
  <si>
    <t>[9:13 a.m., 20/8/2025] Lic Jesús Leal: Buen dia espero contar con su pago como lo memncio el lunes de esta semana</t>
  </si>
  <si>
    <t>[9:05 a.m., 21/8/2025] Guillermo Lozoya Vs Axalta: Buen día Lic, una disculpa por la demora en el pago sabe q ya hoy hablé con mi cliente y estoy esperando pago ya para realizarle la transfer</t>
  </si>
  <si>
    <t>SE ENVIA MENSAJE AL WHATSAPPBuen dia, quedo al pendiente de su pago</t>
  </si>
  <si>
    <t>respuesta del deudor
Sabe que estoy batallando con un pago que se me atoró, cree que puedan esperarme con pago para el día viernes y pues le estaría enviando doble pago
[8:04 a.m., 25/8/2025] Guillermo Lozoya Vs Axalta: Cree q se pueda?
[8:04 a.m., 25/8/2025] Lic Jesús Leal: De acuerdo,  adelante
[8:13 a.m., 25/8/2025] Guillermo Lozoya Vs Axalta: Gracias</t>
  </si>
  <si>
    <t>[9:10 a.m., 29/8/2025] Lic Jesús Leal: Buen dia, espero sus dos pagos como me menciono este lunes 25 de agosto. quedo a la espera de los comprobante</t>
  </si>
  <si>
    <t>[8:18 a.m., 1/9/2025] Guillermo Lozoya Vs Axalta: Buen día Lic
[8:18 a.m., 1/9/2025] Guillermo Lozoya Vs Axalta: En un momento le envío comprobante de transferencia</t>
  </si>
  <si>
    <t>[10:23 a.m., 3/9/2025] Lic Jesús Leal: Buen dia, no se olvide del otro pago, que fue el compromiso que me hizo</t>
  </si>
  <si>
    <t>En espera del siguiente pago</t>
  </si>
  <si>
    <t>[9:04 a.m., 5/9/2025] Lic Jesús Leal: Buen dia, espero contar con su pago el dia de hoy, como se coprometio</t>
  </si>
  <si>
    <t>[7:44 a.m., 8/9/2025] Guillermo Lozoya Vs Axalta: Buen día Lic, no le había realizado la transfer pendiente por q no nos había caído pago pendiente, pero ya platicamos con nuestro cliente y el día de hoy nos lo va realizar
[7:44 a.m., 8/9/2025] Guillermo Lozoya Vs Axalta: Una disculpa por la demora
[7:44 a.m., 8/9/2025] Guillermo Lozoya Vs Axalta: Pero ya hoy se lo realizamos
[8:28 a.m., 8/9/2025] Lic Jesús Leal: Buen dia, espero su comprobante,   saludos</t>
  </si>
  <si>
    <t>Buen dia, no recibi su comprobante de pago
espero contar con el, el dia de hoy</t>
  </si>
  <si>
    <t>[7:44 a.m., 10/9/2025] Guillermo Lozoya Vs Axalta: Buen día Lic, una disculpa que no le he mandado lo pendiente pero es q si hemos estado batallando mucho con un pago pendiente, ya hablé con mi cliente y me lo van hacer ahorita ya para mandarle comprobante de pago</t>
  </si>
  <si>
    <t>[7:44 a.m., 10/9/2025] Guillermo Lozoya Vs Axalta: Buen día Lic, una disculpa que no le he mandado lo pendiente pero es q si hemos estado batallando mucho con un pago pendiente, ya hablé con mi cliente y me lo van hacer ahorita ya para mandarle comprobante de pago
[9:12 a.m., 11/9/2025] Lic Jesús Leal: Buen dia , espero su pago como se acordo hace dos semana</t>
  </si>
  <si>
    <t>[12:52 a.m., 12/9/2025] Guillermo Lozoya Vs Axalta: Buenas noches Lic.
[12:54 a.m., 12/9/2025] Guillermo Lozoya Vs Axalta: Primero que nada una disculpa por la demora, ya sé que lo traigo con q hoy y luego q mañana y así me la llevo, pero sabe q andamos batallando con unos clientes con los pagos, primero Jehová esperamos que mañana nos liquiden ya para regularizarnos ha con lo pendiente</t>
  </si>
  <si>
    <t>[11:39 a.m., 17/9/2025] Lic Jesús Leal: Buen dis Sigo al pendiente del pago que se comprometio .  Saludos</t>
  </si>
  <si>
    <t>dice en un audio que los esperemos para el dia de mañana</t>
  </si>
  <si>
    <t>[9:12 a.m., 19/9/2025] Lic Jesús Leal: Buen dia, espero hoy se cumpla con elpago ya que en este mes se deben de pagar 2 pagos de 5,000.00
[9:12 a.m., 19/9/2025] Lic Jesús Leal: el del compromiso del mes pasado y este mes</t>
  </si>
  <si>
    <t>Se recibe pago por 3,000.00 se envia al lic jasso                                                                                                                                   [7:57 a.m., 22/9/2025] Memo Lozoya: Buen día
[7:57 a.m., 22/9/2025] Memo Lozoya: Hay le genere una transferencia
[7:57 a.m., 22/9/2025] Memo Lozoya: Ahorita le genero la otra de lo pendiente</t>
  </si>
  <si>
    <t>[7:57 a.m., 22/9/2025] Memo Lozoya: Buen día
[7:57 a.m., 22/9/2025] Memo Lozoya: Hay le genere una transferencia
[7:57 a.m., 22/9/2025] Memo Lozoya: Ahorita le genero la otra de lo pendiente
[8:10 a.m., 23/9/2025] Lic Jesús Leal: Buen dia espero contar con su pago el dia de hoy-.</t>
  </si>
  <si>
    <t>Buen dia, espero contar con su pago, no me deje al olvido</t>
  </si>
  <si>
    <t>se envia mensaje al deudor
Buen dia, ya no se recibi la diferencia y el mes de septiembre que se estaba pagando  $8,000.00 es el saldo pendiente de abonar</t>
  </si>
  <si>
    <t>[9:07 a.m., 26/9/2025] Lic Jesús Leal: Buen dia, espero su comprobante de pago</t>
  </si>
  <si>
    <t>Buen dia,  no recibo la diferencia de pago y el pago del mes de septiembre, espero que hoy quede  Saludos</t>
  </si>
  <si>
    <t>COMENTA QUE ESTA POR RECIBIR UNOS PAGOS QUE SABE DE SU COMPROMISO QUE LO ESPERMOS PARA ESTA SEMANA</t>
  </si>
  <si>
    <t>[9:39 a.m., 1/10/2025] Lic Jesús Leal: Bue dia, la misma historia, no hay pago ni cumple con su compromiso, traigo al cliente molesto</t>
  </si>
  <si>
    <t>Se recibe pago por 4,000.00 se envia a lic jasso</t>
  </si>
  <si>
    <t>[9:30 a.m., 8/10/2025] Lic Jesús Leal: Buen dia, espero contar con su pago de este mes octubre  saludos</t>
  </si>
  <si>
    <t>Se le envia mensaje a su whatsapp</t>
  </si>
  <si>
    <t>[9:28 a.m., 13/10/2025] Lic Jesús Leal: Buend ia, el viernes comento que se reporta con un servidor y revisar el pago, quedo al pendiente</t>
  </si>
  <si>
    <t>[7:32 a.m., 14/10/2025] Memo Lozoya: Buen día Lic, no reporte con usted ayer, pero déjeme hago movimientos de hoy a mañana para mandarle comprobante de pago
[7:32 a.m., 14/10/2025] Memo Lozoya: Una disculpa por la demora
[7:33 a.m., 14/10/2025] Lic Jesús Leal: De acuerdo,  estoy al pendiente buen día</t>
  </si>
  <si>
    <t>Se le envia mensaje a su whtasp
Buen dia es´pero se cumpla este compromiso de pago</t>
  </si>
  <si>
    <t>[8:58 a.m., 16/10/2025] Lic Jesús Leal: bUEN DIA, ESPERO CONTAR CON SU PAGO,  SALDUOS</t>
  </si>
  <si>
    <t>Buen dia espero contar con su pago el dia de hoy.  Saludos</t>
  </si>
  <si>
    <t>[8:37 a.m., 20/10/2025] Memo Lozoya: Buen día Lic,
[8:38 a.m., 20/10/2025] Memo Lozoya: Ya estoy haciendo movimientos para mandarle comprobante de pago
[8:38 a.m., 20/10/2025] Memo Lozoya: En unos minutos se lo envío
[8:38 a.m., 20/10/2025] Lic Jesús Leal: Buen
[8:38 a.m., 20/10/2025] Lic Jesús Leal: Quedo a sus órdene</t>
  </si>
  <si>
    <t>[7:19 a.m., 21/10/2025] Memo Lozoya: Buen día Lic. Ya no alcancé a realizarle el pago ayer por q me refleja el pago hoy
[7:19 a.m., 21/10/2025] Memo Lozoya: Pero ya hoy si se lo envío
[7:26 a.m., 21/10/2025] Lic Jesús Leal: De acuerdo quedo al pendiente
[7:26 a.m., 21/10/2025] Lic Jesús Leal: Buen día
[10:28 a.m., 21/10/2025] Lic Jesús Leal: Buen dia espero tener su pago el dia de hoy</t>
  </si>
  <si>
    <t>se recibe pago 3,500.00, se envia a lic jasso</t>
  </si>
  <si>
    <t>se marca 31 de octubre para presionar otro pago</t>
  </si>
  <si>
    <t>[10:44 a.m., 29/10/2025] Lic Jesús Leal: Buen dia que me comenta del siguiente pago para ir avanzando, quedo a sus ordenes</t>
  </si>
  <si>
    <t>[9:30 a.m., 30/10/2025] Lic Jesús Leal: Buen dia , en espera de su pago, quedo a sus ordenes</t>
  </si>
  <si>
    <t>EN ESPERA DE RESPUESTA DE PAGO</t>
  </si>
  <si>
    <t>[9:38 a.m., 3/11/2025] Lic Jesús Leal: Buen dia, espero contar con su pago</t>
  </si>
  <si>
    <t>[8:23 a.m., 4/11/2025] Memo Lozoya: Buen día Lic
[8:24 a.m., 4/11/2025] Memo Lozoya: El día de hoy estamos esperando pago para reportarnos
[8:24 a.m., 4/11/2025] Memo Lozoya: Le voy avisando
[9:22 a.m., 4/11/2025] Lic Jesús Leal: Buen día quedo al pendiente saludos</t>
  </si>
  <si>
    <t>En espera&lt; de pago para esta semana se marca el viernes</t>
  </si>
  <si>
    <t>[9:02 a.m., 6/11/2025] Lic Jesús Leal: Buen dia, no tengo respuesta de pago, espero contar con ella el dia de hoy. Saludos</t>
  </si>
  <si>
    <t>[10:07 a.m., 10/11/2025] Lic Jesús Leal: Buen dia , sigo en espera de su pago que comento el martes pasado</t>
  </si>
  <si>
    <t>Buen dia, no se recibio su pago como comento el dia de ayer</t>
  </si>
  <si>
    <t>[9:11 a.m., 12/11/2025] Lic Jesús Leal: Buen dia, espero ontar con el pago, como quedo el Lunes de esta semana</t>
  </si>
  <si>
    <t>[9:19 a.m., 13/11/2025] Lic Jesús Leal: El Lunes de esta semana quedo en realizar pago, quedo a sus ordenes</t>
  </si>
  <si>
    <t>[7:04 a.m., 14/11/2025] Memo Lozoya: El día de ayer no me resolvieron nada, pero deme chanza el día de hoy para realizarle esa transfer</t>
  </si>
  <si>
    <t>[7:03 a.m., 14/11/2025] Memo Lozoya: Buen día Lic
[7:04 a.m., 14/11/2025] Memo Lozoya: El día de ayer no me resolvieron nada, pero deme chanza el día de hoy para realizarle esa transfer
[9:07 a.m., 18/11/2025] Lic Jesús Leal: Buen dia, espero recibir pago el dia de hoy.</t>
  </si>
  <si>
    <t>[7:52 a.m., 19/11/2025] Memo Lozoya: Buen día  Lic, una disculpa por la demora en enviar el comprobante solamente que no me ha revolvido mi cliente pero ya hoy tenemos que resolver eso para realizarle transfer</t>
  </si>
  <si>
    <t>[8:02 a.m., 20/11/2025] Memo Lozoya: Buen día Lic, una disculpa por la demora en depositarle, sabe que ando batallando para recopilar un billete que me deben pero deme chanza esta semana para darle trámite a esta lana, para poder depositarle el viernes</t>
  </si>
  <si>
    <t>[7:52 a.m., 19/11/2025] Memo Lozoya: Buen día  Lic, una disculpa por la demora en enviar el comprobante solamente que no me ha revolvido mi cliente pero ya hoy tenemos que resolver eso para realizarle transfer
[8:02 a.m., 20/11/2025] Memo Lozoya: Buen día Lic, una disculpa por la demora en depositarle, sabe que ando batallando para recopilar un billete que me deben pero deme chanza esta semana para darle trámite a esta lana, para poder depositarle el viernes
[9:03 a.m., 21/11/2025] Lic Jesús Leal: Buen dia, Sr. GUillermo espero contar con su pago el dia de hoy. Saludos</t>
  </si>
  <si>
    <t>Se recibe pago por 3,500.00 se envia al lic jasso</t>
  </si>
  <si>
    <t>se marca este 3 de dic. Para presionar a pago</t>
  </si>
  <si>
    <t>[9:35 a.m., 3/12/2025] Lic Jesús Leal: Buen dia , que avance me tiene al pago a mi clientre</t>
  </si>
  <si>
    <t>[9:35 a.m., 3/12/2025] Lic Jesús Leal: i clientre
[10:39 a.m., 4/12/2025] Lic Jesús Leal: Buen dia, Sr. Guillermo, espero contar con su pago los abonos son muy pequeños para el saldo que tiene</t>
  </si>
  <si>
    <t>[7:23 a.m., 5/12/2025] Memo Lozoya: Buen día Lic
[7:23 a.m., 5/12/2025] Memo Lozoya: En un momento le envío comprobante de pago
[10:22 a.m., 5/12/2025] Lic Jesús Leal: &gt;Buen dia, alguna novedad de su pago</t>
  </si>
  <si>
    <t>[9:26 a.m., 8/12/2025] Memo Lozoya: Buen día Lic
[9:26 a.m., 8/12/2025] Memo Lozoya: Aquí le envío comprobante de pago</t>
  </si>
  <si>
    <t>se recibe pago 3500.00 se envia a lic jasso</t>
  </si>
  <si>
    <t>Se marca el 16 de dic</t>
  </si>
  <si>
    <t>[9:19 a.m., 15/12/2025] Lic Jesús Leal: buen dia, espero su respuesta de pago</t>
  </si>
  <si>
    <t>en espera de respuesta de pago</t>
  </si>
  <si>
    <t>[10:32 a.m., 26/12/2025] Lic Jesús Leal: Buen dia, espero contar con su pago.  Saludos</t>
  </si>
  <si>
    <t>[8:34 a.m., 29/12/2025] Memo Lozoya: Buen día Lic
[8:34 a.m., 29/12/2025] Memo Lozoya: En un momento le envío su comprobante de pago
[8:35 a.m., 29/12/2025] Lic Jesús Leal: De acuerdo,  buen día</t>
  </si>
  <si>
    <t>[8:34 a.m., 29/12/2025] Memo Lozoya: Buen día Lic
[8:34 a.m., 29/12/2025] Memo Lozoya: En un momento le envío su comprobante de pago
[8:35 a.m., 29/12/2025] Lic Jesús Leal: De acuerdo,  buen día
[10:18 a.m., 30/12/2025] Lic Jesús Leal: Buen dia, espero contar con su pago el dia de hoy.</t>
  </si>
  <si>
    <t>[8:31 a.m., 5/1/2026] Memo Lozoya: Buen día Lic
[8:32 a.m., 5/1/2026] Memo Lozoya: En un momento le envío comprobante de pago
[10:01 a.m., 5/1/2026] Lic Jesús Leal: Quedo a la espero de su comprobante,</t>
  </si>
  <si>
    <t>Se marca el 22 de Enero</t>
  </si>
  <si>
    <t>[10:29 a.m., 21/1/2026] Lic Jesús Leal: Buen dia, espero contar con su pago para esta semana</t>
  </si>
  <si>
    <t>[10:15 a.m., 23/1/2026] Lic Jesús Leal: Buen dia, sr. guillermo espero respuesta de pago , saludos</t>
  </si>
  <si>
    <t>[10:29 a.m., 26/1/2026] Lic Jesús Leal: Buen dia, espero contar con pago en esta semana</t>
  </si>
  <si>
    <t>[11:31 p.m., 26/1/2026] Memo Lozoya: Qué tal Lic. Una disculpa por el atraso, el día de mañana realizamos pago correspondiente</t>
  </si>
  <si>
    <t>RESPUESTA DEL DEUDOR
[11:31 p.m., 26/1/2026] Memo Lozoya: Qué tal Lic. Una disculpa por el atraso, el día de mañana realizamos pago correspondiente
[9:18 a.m., 28/1/2026] Lic Jesús Leal: buen dia, espero contar con su comprobante el dia de hoy</t>
  </si>
  <si>
    <t>[9:30 a.m., 28/1/2026] Memo Lozoya: Buen día Lic
[9:30 a.m., 28/1/2026] Memo Lozoya: Una disculpa por la demora
[9:30 a.m., 28/1/2026] Memo Lozoya: Sabe q estaba esperando pago ayer y no le alcanzaron a realizar
[9:30 a.m., 28/1/2026] Memo Lozoya: Debe de quedar hoy
[9:30 a.m., 28/1/2026] Memo Lozoya: Ya para transferirles
[9:54 a.m., 29/1/2026] Lic Jesús Leal: Buen dia no me llego el comprobante de pago, espero el dia de hoy Saludos</t>
  </si>
  <si>
    <t>[8:46 a.m., 30/1/2026] Memo Lozoya: Buen día Lic, una disculpa de nuevo pero el pago lo estaría recibiendo hoy ya para realizarle tranfer, ya hoy sin falta se lo realizo por la tarde</t>
  </si>
  <si>
    <t>Se marca el fin de mes</t>
  </si>
  <si>
    <t>[10:53 a.m., 16/2/2026] Lic Jesús Leal: Buen dia, espero contar con pago en esta semana
[10:53 a.m., 16/2/2026] Lic Jesús Leal: Saludos</t>
  </si>
  <si>
    <t>En espera de respuesta</t>
  </si>
  <si>
    <t>[10:07 a.m., 19/2/2026] Lic Jesús Leal: Buen dia, espero tener respuesta de pago</t>
  </si>
  <si>
    <t>[9:23 a.m., 23/2/2026] Memo Lozoya: Buen día Lic
[9:24 a.m., 23/2/2026] Memo Lozoya: El día de hoy realizamos pago
[9:39 a.m., 23/2/2026] Lic Jesús Leal: Quedo al pendiente del msimo   Saludos</t>
  </si>
  <si>
    <t>El día de hoy realizamos pago
Buen dia, no recibi su comprobante, quedo a la espera del mismo</t>
  </si>
  <si>
    <t>[11:31 a.m., 24/2/2026] Memo Lozoya: Buen día Lic
[11:32 a.m., 24/2/2026] Memo Lozoya: Una disculpa ayer no recibimos pago
[11:32 a.m., 24/2/2026] Memo Lozoya: Pero hoy trabajamos en eso
[11:32 a.m., 24/2/2026] Memo Lozoya: Para q ya quede
[9:59 a.m., 25/2/2026] Lic Jesús Leal: Buen dia, que me comenta del pago a Axalta</t>
  </si>
  <si>
    <t>[10:01 a.m., 25/2/2026] Memo Lozoya: Buen día Lic
[10:01 a.m., 25/2/2026] Memo Lozoya: Sabe q no me ha echo mi pago por eso ni le he mandado comprobante de pago
[10:02 a.m., 25/2/2026] Memo Lozoya: Déjeme solucionar esto hoy para ya mandárselo</t>
  </si>
  <si>
    <t>[9:05 a.m., 27/2/2026] Memo Lozoya: El día de ayer no pudimos realizarle el pago, pero ya sin falta queda hoy Lic, le mando comprobante de pago
[9:05 a.m., 27/2/2026] Memo Lozoya: Buen día
[9:05 a.m., 27/2/2026] Lic Jesús Leal: buen dia, quedo al pendiente</t>
  </si>
  <si>
    <t>9:06|</t>
  </si>
  <si>
    <t xml:space="preserve">Se recibe el pago de 2,500.00 se envia al lic jasso </t>
  </si>
  <si>
    <t>Buen día Lic   Envío pago  Envíe la mitad  Mañana más tardar envío la otra mitad</t>
  </si>
  <si>
    <t>[9:42 a.m., 4/3/2026] Lic Jesús Leal: Buen dia, espero contar con su resto del pago el dia de hoy</t>
  </si>
  <si>
    <t>[8:53 a.m., 5/3/2026] Lic Jesús Leal: Buen dia, espero contar con el pago el dia de hoy, que me comento este Junes quedo a sus ordenes</t>
  </si>
  <si>
    <t>[9:31 a.m., 6/3/2026] Lic Jesús Leal: Buen dia, ya no he tenido respuesta al pago , el cliente comenta que al paso que va nunca va a terminar de pagar  RESPUESTA DEL DEUDOR
[9:32 a.m., 6/3/2026] Memo Lozoya: Sabe q nos están retrasando unos pagos por eso no le había escrito
[9:32 a.m., 6/3/2026] Memo Lozoya: Pero el día de hoy queda sin falta</t>
  </si>
  <si>
    <t>se recibe pago de 2,500.00  se envia a lic jasso</t>
  </si>
  <si>
    <t>Se marca en 24 de este mes</t>
  </si>
  <si>
    <t>[11:15 a.m., 23/3/2026] Lic Jesús Leal: Buen dia, algun avance pago a Axalta. quedo a sus ordenes</t>
  </si>
  <si>
    <t>[11:26 a.m., 23/3/2026] Guillermo Lozoya Vs Axalta: Buen día Lic
[11:26 a.m., 23/3/2026] Guillermo Lozoya Vs Axalta: Estamos en espera de pago de hoy a mañana
[11:26 a.m., 23/3/2026] Guillermo Lozoya Vs Axalta: Para realizarle transfer</t>
  </si>
  <si>
    <t>en espera de pago para el dia hoy</t>
  </si>
  <si>
    <t>[9:45 a.m., 26/3/2026] Lic Jesús Leal: Buen dia ; que me comenta del pago que quedo en enviarme  Quedo a sus ordenes</t>
  </si>
  <si>
    <t>RESPUESTA DEL DEUDOR
Buen día Lic
El día de hoy al finalizar el día le envío mi comprobante de pago
Espero su respuesta favorable</t>
  </si>
  <si>
    <t>[9:50 a.m., 13/4/2026] Lic Jesús Leal: Buen dia, espero contar con su pago , quedo a sus ordenes</t>
  </si>
  <si>
    <t>[9:33 a.m., 15/4/2026] Lic Jesús Leal: Buen dia  espero contar con su pago el dia de hoy.</t>
  </si>
  <si>
    <t>[9:57 a.m., 16/4/2026] Lic Jesús Leal: Buen dia , espero contar con su pago en esta semana, quedo a sus ordenes</t>
  </si>
  <si>
    <t>Buen día Lic
Entre hoy y mañana realizamos el pago
Una disculpa por la demora
de acuerdo seguimos al pendiente  saludos
Buen día,  espero su pago saludos</t>
  </si>
  <si>
    <t>[9:41 a.m., 20/4/2026] Lic Jesús Leal: Entre hoy y mañana realizamos el pago
Buen dia, espero recibir su pago, el dia de hoy,  Saludos</t>
  </si>
  <si>
    <t>Buen dia, espero contar con su pago el dia de hoy</t>
  </si>
  <si>
    <t>[10:43 a.m., 22/4/2026] Lic Jesús Leal: Buen dia , no tengo respuesta de pago, quedo a sus ordenes</t>
  </si>
  <si>
    <t>[8:10 a.m., 23/4/2026] Guillermo Lozoya Vs Axalta: Buen día Lic
[8:10 a.m., 23/4/2026] Guillermo Lozoya Vs Axalta: Sigo un poco atorado con la lana que me van a liberar, pero sigo trabajando en eso
[8:11 a.m., 23/4/2026] Guillermo Lozoya Vs Axalta: Deme oportunidad de liberarlo hoy</t>
  </si>
  <si>
    <t>Se recbe pago por 5,000.00, se envia a lic jasso</t>
  </si>
  <si>
    <t>se marca 11 de mayo</t>
  </si>
  <si>
    <t>Buen dia, espero contar con su pago , Saludos</t>
  </si>
  <si>
    <t>[9:44 a.m., 12/5/2026] Lic Jesús Leal: Buen dia , espero contar con su comprobante de pago, saludos</t>
  </si>
  <si>
    <t>[10:00 a.m., 13/5/2026] Lic Jesús Leal: Buen dia, espero contar con su pago.  Saludos</t>
  </si>
  <si>
    <t>[10:34 a.m., 13/5/2026] Guillermo Lozoya Vs Axalta: Buen día Lic
[10:34 a.m., 13/5/2026] Guillermo Lozoya Vs Axalta: El día de hoy trabajamos comprobante de pago</t>
  </si>
  <si>
    <t>[9:11 a.m., 15/5/2026] Guillermo Lozoya Vs Axalta: Buen día Lic
[9:11 a.m., 15/5/2026] Guillermo Lozoya Vs Axalta: Una disculpa por la demora
[9:11 a.m., 15/5/2026] Guillermo Lozoya Vs Axalta: El día de hoy queda su pago</t>
  </si>
  <si>
    <t>[9:17 a.m., 18/5/2026] Lic Jesús Leal: Buen dia, espero contar con su pago,</t>
  </si>
  <si>
    <t>[9:15 a.m., 19/5/2026] Lic Jesús Leal: El día de hoy queda su pago
Buen dia, me comento el viernes pasado que se realizaria el págo , pero aun no recibo su comprobante,  Saludos
[9:16 a.m., 19/5/2026] Guillermo Lozoya Vs Axalta: Buen día Lic, una disculpa por la demora, estoy esperando un pago para realizar la transfer
[9:16 a.m., 19/5/2026] Guillermo Lozoya Vs Axalta: Deje nada más que se me refleje hoy y se lo envío
[9:17 a.m., 19/5/2026] Lic Jesús Leal: de acuerdo, quedo al pendiente</t>
  </si>
  <si>
    <t>[10:00 a.m., 20/5/2026] Lic Jesús Leal: Deje nada más que se me refleje hoy y se lo envío
Buen dia espero su comprobante de pago.  Saludos</t>
  </si>
  <si>
    <t>[8:07 a.m., 21/5/2026] Guillermo Lozoya Vs Axalta: Buen día Lic
[8:07 a.m., 21/5/2026] Guillermo Lozoya Vs Axalta: El día de hoy ya le realizó su pago sin falta
[8:08 a.m., 21/5/2026] Guillermo Lozoya Vs Axalta: Deme unas dos horas y queda listo</t>
  </si>
  <si>
    <t>Respuesta del deudor
Buen día Lic, una disculpa ayer ya no alcancé a ir a depositar el pago salí muy tarde del jale pero ahorita me voy a lanzar a depositar ese pago pendiente Lic</t>
  </si>
  <si>
    <t>se marca el 8 de junio</t>
  </si>
  <si>
    <t>[10:08, 8/6/2026] Lic Jesús Leal: Buen dia, espero contar con su pago , saludos</t>
  </si>
  <si>
    <t>[09:46, 9/6/2026] Lic Jesús Leal: Buen dia, esero respuesta de pago a Axalta,  Saludos</t>
  </si>
  <si>
    <t>[08:06, 12/6/2026] Guillermo Lozoya Vs Axalta: Buen día Lic
[08:07, 12/6/2026] Guillermo Lozoya Vs Axalta: El día de hoy le genero pago al final de día</t>
  </si>
  <si>
    <t>[10:16, 15/6/2026] Lic Jesús Leal: El día de hoy le genero pago al final de día
Buen dia, no me envio el comprobante de pago.  quedo al pendiente del mismo</t>
  </si>
  <si>
    <t>Buen dia, me comento el viernes pasado que realizara el pago y no tengo su comprobante de pago. quedo a sus ordenes</t>
  </si>
  <si>
    <t>[08:38, 17/6/2026] Guillermo Lozoya Vs Axalta: Buen día Lic
[08:38, 17/6/2026] Guillermo Lozoya Vs Axalta: Una disculpa por la demora
[08:38, 17/6/2026] Guillermo Lozoya Vs Axalta: Sabe q estoy esperando pago esta semana
[08:38, 17/6/2026] Guillermo Lozoya Vs Axalta: Ya que me lo movieron
[08:38, 17/6/2026] Guillermo Lozoya Vs Axalta: Deme oportunidad y le envío comprobante de pago</t>
  </si>
  <si>
    <t>Respuesta del deudor evasivas de pago</t>
  </si>
  <si>
    <t>[10:35, 19/6/2026] Lic Jesús Leal: Déjeme ver qué puedo hacer para transferirle hoy mas tardar mañana
Buen dia, espero contar con su pago el dia de hoy.  Saludos</t>
  </si>
  <si>
    <t>[07:48, 22/6/2026] Guillermo Lozoya Vs Axalta: Buen día Lic
[07:48, 22/6/2026] Guillermo Lozoya Vs Axalta: El día de hoy generamos pago sin falta
[07:48, 22/6/2026] Guillermo Lozoya Vs Axalta: Una disculpa por la demora
[07:48, 22/6/2026] Guillermo Lozoya Vs Axalta: Pero si hemos batallado con algunos pagos de clientes</t>
  </si>
  <si>
    <t>En espera que envie el resto en esta semana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</si>
</sst>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44" formatCode="_-&quot;$&quot;* #,##0.00_-;\-&quot;$&quot;* #,##0.00_-;_-&quot;$&quot;* &quot;-&quot;??_-;_-@_-"/>
    <numFmt numFmtId="43" formatCode="_-* #,##0.00_-;\-* #,##0.00_-;_-* &quot;-&quot;??_-;_-@_-"/>
    <numFmt numFmtId="164" formatCode="&quot;$&quot;#,##0.00"/>
    <numFmt numFmtId="165" formatCode="_-&quot;XDR&quot;* #,##0.00_-;\-&quot;XDR&quot;* #,##0.00_-;_-&quot;XDR&quot;* &quot;-&quot;??_-;_-@_-"/>
    <numFmt numFmtId="166" formatCode="dd/mm/yyyy;@"/>
  </numFmts>
  <fonts count="19" x14ac:knownFonts="1">
    <font>
      <sz val="10"/>
      <name val="Arial"/>
    </font>
    <font>
      <sz val="11"/>
      <color theme="1"/>
      <name val="Calibri"/>
      <family val="2"/>
      <scheme val="minor"/>
    </font>
    <font>
      <sz val="10"/>
      <name val="Arial"/>
      <family val="2"/>
    </font>
    <font>
      <sz val="8"/>
      <name val="Arial"/>
      <family val="2"/>
    </font>
    <font>
      <b/>
      <sz val="10"/>
      <name val="Arial"/>
      <family val="2"/>
    </font>
    <font>
      <u/>
      <sz val="10"/>
      <color indexed="12"/>
      <name val="Arial"/>
      <family val="2"/>
    </font>
    <font>
      <sz val="8"/>
      <name val="Arial"/>
      <family val="2"/>
    </font>
    <font>
      <b/>
      <sz val="8"/>
      <name val="Arial"/>
      <family val="2"/>
    </font>
    <font>
      <sz val="10"/>
      <name val="Arial"/>
      <family val="2"/>
    </font>
    <font>
      <sz val="6"/>
      <name val="Arial"/>
      <family val="2"/>
    </font>
    <font>
      <sz val="10"/>
      <color theme="1"/>
      <name val="Arial"/>
      <family val="2"/>
    </font>
    <font>
      <sz val="8"/>
      <color theme="1"/>
      <name val="Arial"/>
      <family val="2"/>
    </font>
    <font>
      <sz val="10"/>
      <name val="Arial"/>
    </font>
    <font>
      <b/>
      <sz val="11"/>
      <color theme="1"/>
      <name val="Calibri"/>
      <family val="2"/>
      <scheme val="minor"/>
    </font>
    <font>
      <b/>
      <sz val="10"/>
      <color theme="1"/>
      <name val="Calibri"/>
      <family val="2"/>
      <scheme val="minor"/>
    </font>
    <font>
      <b/>
      <sz val="12"/>
      <name val="Calibri"/>
      <family val="2"/>
      <scheme val="minor"/>
    </font>
    <font>
      <sz val="11"/>
      <color rgb="FF000000"/>
      <name val="Calibri"/>
      <family val="2"/>
    </font>
    <font>
      <sz val="11"/>
      <name val="Calibri"/>
      <family val="2"/>
    </font>
    <font>
      <sz val="10"/>
      <color rgb="FFFF0000"/>
      <name val="Arial"/>
      <family val="2"/>
    </font>
  </fonts>
  <fills count="8">
    <fill>
      <patternFill patternType="none"/>
    </fill>
    <fill>
      <patternFill patternType="gray125"/>
    </fill>
    <fill>
      <patternFill patternType="solid">
        <fgColor indexed="52"/>
        <bgColor indexed="64"/>
      </patternFill>
    </fill>
    <fill>
      <patternFill patternType="solid">
        <fgColor indexed="9"/>
        <bgColor indexed="64"/>
      </patternFill>
    </fill>
    <fill>
      <patternFill patternType="solid">
        <fgColor indexed="51"/>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s>
  <borders count="5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6">
    <xf numFmtId="0" fontId="0" fillId="0" borderId="0"/>
    <xf numFmtId="0" fontId="5" fillId="0" borderId="0" applyNumberFormat="0" applyFill="0" applyBorder="0" applyAlignment="0" applyProtection="0"/>
    <xf numFmtId="44" fontId="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cellStyleXfs>
  <cellXfs count="23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wrapText="1"/>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2" xfId="0" applyFont="1" applyFill="1" applyBorder="1" applyAlignment="1">
      <alignment horizontal="center" wrapText="1"/>
    </xf>
    <xf numFmtId="0" fontId="4" fillId="2" borderId="3" xfId="0" applyFont="1" applyFill="1" applyBorder="1" applyAlignment="1">
      <alignment horizontal="center"/>
    </xf>
    <xf numFmtId="0" fontId="0" fillId="3" borderId="0" xfId="0" applyFill="1"/>
    <xf numFmtId="0" fontId="7" fillId="2" borderId="1" xfId="0" applyFont="1" applyFill="1" applyBorder="1" applyAlignment="1">
      <alignment horizontal="center"/>
    </xf>
    <xf numFmtId="0" fontId="7" fillId="2" borderId="2" xfId="0" applyFont="1" applyFill="1" applyBorder="1" applyAlignment="1">
      <alignment horizontal="center"/>
    </xf>
    <xf numFmtId="0" fontId="7" fillId="2" borderId="2" xfId="0" applyFont="1" applyFill="1" applyBorder="1" applyAlignment="1">
      <alignment horizontal="center" wrapText="1"/>
    </xf>
    <xf numFmtId="0" fontId="6" fillId="0" borderId="0" xfId="0" applyFont="1"/>
    <xf numFmtId="0" fontId="6" fillId="0" borderId="0" xfId="0" applyFont="1" applyAlignment="1">
      <alignment horizontal="center" wrapText="1"/>
    </xf>
    <xf numFmtId="0" fontId="6" fillId="0" borderId="0" xfId="0" applyFont="1" applyAlignment="1">
      <alignment wrapText="1"/>
    </xf>
    <xf numFmtId="0" fontId="7" fillId="2" borderId="3" xfId="0" applyFont="1" applyFill="1" applyBorder="1" applyAlignment="1">
      <alignment horizontal="center"/>
    </xf>
    <xf numFmtId="0" fontId="6" fillId="3" borderId="4" xfId="0" applyFont="1" applyFill="1" applyBorder="1"/>
    <xf numFmtId="0" fontId="6" fillId="3" borderId="5" xfId="0" applyFont="1" applyFill="1" applyBorder="1"/>
    <xf numFmtId="0" fontId="6" fillId="3" borderId="6" xfId="0" applyFont="1" applyFill="1" applyBorder="1"/>
    <xf numFmtId="0" fontId="7" fillId="3" borderId="7" xfId="0" applyFont="1" applyFill="1" applyBorder="1" applyAlignment="1">
      <alignment horizontal="center"/>
    </xf>
    <xf numFmtId="0" fontId="6" fillId="3" borderId="0" xfId="0" applyFont="1" applyFill="1"/>
    <xf numFmtId="0" fontId="3" fillId="0" borderId="0" xfId="0" applyFont="1" applyAlignment="1">
      <alignment horizontal="center"/>
    </xf>
    <xf numFmtId="44" fontId="3" fillId="0" borderId="8" xfId="2" applyFont="1" applyBorder="1" applyAlignment="1">
      <alignment horizontal="center"/>
    </xf>
    <xf numFmtId="14" fontId="3" fillId="0" borderId="8" xfId="0" applyNumberFormat="1" applyFont="1" applyBorder="1" applyAlignment="1">
      <alignment horizontal="center"/>
    </xf>
    <xf numFmtId="0" fontId="3" fillId="0" borderId="4" xfId="0" applyFont="1" applyBorder="1" applyAlignment="1">
      <alignment horizontal="center"/>
    </xf>
    <xf numFmtId="44" fontId="3" fillId="0" borderId="9" xfId="2" applyFont="1" applyBorder="1" applyAlignment="1">
      <alignment horizontal="center"/>
    </xf>
    <xf numFmtId="14" fontId="3" fillId="0" borderId="9" xfId="0" applyNumberFormat="1" applyFont="1" applyBorder="1" applyAlignment="1">
      <alignment horizontal="center"/>
    </xf>
    <xf numFmtId="0" fontId="3" fillId="0" borderId="5" xfId="0" applyFont="1" applyBorder="1" applyAlignment="1">
      <alignment horizontal="center"/>
    </xf>
    <xf numFmtId="0" fontId="3" fillId="0" borderId="10" xfId="0" applyFont="1" applyBorder="1" applyAlignment="1">
      <alignment horizontal="center"/>
    </xf>
    <xf numFmtId="44" fontId="3" fillId="0" borderId="11" xfId="2" applyFont="1" applyBorder="1" applyAlignment="1">
      <alignment horizontal="center"/>
    </xf>
    <xf numFmtId="0" fontId="7" fillId="4" borderId="12" xfId="0" applyFont="1" applyFill="1" applyBorder="1" applyAlignment="1">
      <alignment horizont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7" fillId="4" borderId="1" xfId="0" applyFont="1" applyFill="1" applyBorder="1" applyAlignment="1">
      <alignment horizontal="center"/>
    </xf>
    <xf numFmtId="8" fontId="7" fillId="4" borderId="3" xfId="0" applyNumberFormat="1" applyFont="1" applyFill="1" applyBorder="1" applyAlignment="1">
      <alignment horizontal="center"/>
    </xf>
    <xf numFmtId="14" fontId="0" fillId="0" borderId="0" xfId="0" applyNumberFormat="1" applyAlignment="1">
      <alignment horizontal="center" vertical="center"/>
    </xf>
    <xf numFmtId="0" fontId="6" fillId="0" borderId="0" xfId="0" applyFont="1" applyAlignment="1">
      <alignment horizontal="center" vertical="center"/>
    </xf>
    <xf numFmtId="14" fontId="6" fillId="0" borderId="0" xfId="0" applyNumberFormat="1" applyFont="1" applyAlignment="1">
      <alignment horizontal="center" vertical="center"/>
    </xf>
    <xf numFmtId="14" fontId="6" fillId="0" borderId="0" xfId="0" applyNumberFormat="1" applyFont="1" applyAlignment="1">
      <alignment horizontal="center" vertical="center" wrapText="1"/>
    </xf>
    <xf numFmtId="0" fontId="6" fillId="3" borderId="15" xfId="0" applyFont="1" applyFill="1" applyBorder="1" applyProtection="1">
      <protection locked="0"/>
    </xf>
    <xf numFmtId="0" fontId="6" fillId="0" borderId="16" xfId="0" applyFont="1" applyBorder="1" applyProtection="1">
      <protection locked="0"/>
    </xf>
    <xf numFmtId="0" fontId="6" fillId="0" borderId="0" xfId="0" applyFont="1" applyProtection="1">
      <protection locked="0"/>
    </xf>
    <xf numFmtId="0" fontId="6" fillId="3" borderId="17" xfId="0" applyFont="1" applyFill="1" applyBorder="1" applyProtection="1">
      <protection locked="0"/>
    </xf>
    <xf numFmtId="0" fontId="6" fillId="3" borderId="0" xfId="0" applyFont="1" applyFill="1" applyProtection="1">
      <protection locked="0"/>
    </xf>
    <xf numFmtId="0" fontId="6" fillId="3" borderId="0" xfId="0" applyFont="1" applyFill="1" applyAlignment="1" applyProtection="1">
      <alignment horizontal="center"/>
      <protection locked="0"/>
    </xf>
    <xf numFmtId="0" fontId="7" fillId="3" borderId="23" xfId="0" applyFont="1" applyFill="1" applyBorder="1" applyAlignment="1" applyProtection="1">
      <alignment horizontal="center"/>
      <protection locked="0"/>
    </xf>
    <xf numFmtId="14" fontId="7" fillId="0" borderId="24" xfId="0" applyNumberFormat="1" applyFont="1" applyBorder="1" applyAlignment="1" applyProtection="1">
      <alignment horizontal="center"/>
      <protection locked="0"/>
    </xf>
    <xf numFmtId="0" fontId="3" fillId="3" borderId="25" xfId="0" applyFont="1" applyFill="1" applyBorder="1" applyProtection="1">
      <protection locked="0"/>
    </xf>
    <xf numFmtId="0" fontId="3" fillId="3" borderId="0" xfId="0" applyFont="1" applyFill="1" applyProtection="1">
      <protection locked="0"/>
    </xf>
    <xf numFmtId="8" fontId="3" fillId="0" borderId="26" xfId="2" applyNumberFormat="1" applyFont="1" applyBorder="1" applyAlignment="1">
      <alignment horizontal="center"/>
    </xf>
    <xf numFmtId="8" fontId="3" fillId="0" borderId="27" xfId="2" applyNumberFormat="1" applyFont="1" applyBorder="1" applyAlignment="1">
      <alignment horizontal="center"/>
    </xf>
    <xf numFmtId="0" fontId="0" fillId="0" borderId="8" xfId="0" applyBorder="1"/>
    <xf numFmtId="0" fontId="0" fillId="0" borderId="25" xfId="0" applyBorder="1"/>
    <xf numFmtId="0" fontId="7" fillId="4" borderId="28" xfId="0" applyFont="1" applyFill="1" applyBorder="1" applyAlignment="1">
      <alignment horizontal="center"/>
    </xf>
    <xf numFmtId="0" fontId="3" fillId="3" borderId="29" xfId="0" applyFont="1" applyFill="1" applyBorder="1" applyProtection="1">
      <protection locked="0"/>
    </xf>
    <xf numFmtId="0" fontId="0" fillId="3" borderId="17" xfId="0" applyFill="1" applyBorder="1"/>
    <xf numFmtId="0" fontId="0" fillId="3" borderId="18" xfId="0" applyFill="1" applyBorder="1"/>
    <xf numFmtId="0" fontId="0" fillId="3" borderId="17" xfId="0" applyFill="1" applyBorder="1" applyAlignment="1">
      <alignment horizontal="left"/>
    </xf>
    <xf numFmtId="0" fontId="8" fillId="3" borderId="19" xfId="0" applyFont="1" applyFill="1" applyBorder="1" applyProtection="1">
      <protection locked="0"/>
    </xf>
    <xf numFmtId="0" fontId="0" fillId="3" borderId="47" xfId="0" applyFill="1" applyBorder="1"/>
    <xf numFmtId="0" fontId="0" fillId="3" borderId="44" xfId="0" applyFill="1" applyBorder="1"/>
    <xf numFmtId="0" fontId="0" fillId="3" borderId="45" xfId="0" applyFill="1" applyBorder="1"/>
    <xf numFmtId="0" fontId="0" fillId="3" borderId="0" xfId="0" applyFill="1" applyAlignment="1">
      <alignment horizontal="center"/>
    </xf>
    <xf numFmtId="0" fontId="0" fillId="3" borderId="0" xfId="0" applyFill="1" applyAlignment="1">
      <alignment horizontal="left"/>
    </xf>
    <xf numFmtId="0" fontId="0" fillId="3" borderId="0" xfId="0" applyFill="1" applyAlignment="1">
      <alignment horizontal="right"/>
    </xf>
    <xf numFmtId="0" fontId="8" fillId="3" borderId="0" xfId="0" applyFont="1" applyFill="1"/>
    <xf numFmtId="0" fontId="6" fillId="3" borderId="20" xfId="0" applyFont="1" applyFill="1" applyBorder="1" applyProtection="1">
      <protection locked="0"/>
    </xf>
    <xf numFmtId="0" fontId="6" fillId="3" borderId="21" xfId="0" applyFont="1" applyFill="1" applyBorder="1" applyProtection="1">
      <protection locked="0"/>
    </xf>
    <xf numFmtId="0" fontId="6" fillId="3" borderId="22" xfId="0" applyFont="1" applyFill="1" applyBorder="1" applyProtection="1">
      <protection locked="0"/>
    </xf>
    <xf numFmtId="20" fontId="8" fillId="0" borderId="0" xfId="0" applyNumberFormat="1" applyFont="1" applyAlignment="1">
      <alignment horizontal="center" vertical="center"/>
    </xf>
    <xf numFmtId="0" fontId="4" fillId="2" borderId="2" xfId="0" applyFont="1" applyFill="1" applyBorder="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wrapText="1"/>
    </xf>
    <xf numFmtId="20" fontId="0" fillId="0" borderId="0" xfId="0" applyNumberFormat="1" applyAlignment="1">
      <alignment horizontal="center" vertical="center"/>
    </xf>
    <xf numFmtId="0" fontId="0" fillId="5" borderId="0" xfId="0" applyFill="1"/>
    <xf numFmtId="0" fontId="13" fillId="0" borderId="0" xfId="0" applyFont="1" applyAlignment="1">
      <alignment horizontal="center" vertical="center"/>
    </xf>
    <xf numFmtId="0" fontId="15" fillId="0" borderId="0" xfId="0" applyFont="1" applyAlignment="1">
      <alignment horizontal="center" vertical="center" wrapText="1"/>
    </xf>
    <xf numFmtId="43" fontId="15" fillId="0" borderId="0" xfId="4" applyFont="1" applyFill="1" applyBorder="1" applyAlignment="1">
      <alignment horizontal="center" vertical="center" wrapText="1"/>
    </xf>
    <xf numFmtId="165" fontId="15" fillId="0" borderId="0" xfId="5" applyFont="1" applyFill="1" applyBorder="1" applyAlignment="1">
      <alignment horizontal="center" vertical="center" wrapText="1"/>
    </xf>
    <xf numFmtId="0" fontId="16" fillId="0" borderId="0" xfId="0" applyFont="1" applyAlignment="1">
      <alignment horizontal="right" vertical="center"/>
    </xf>
    <xf numFmtId="0" fontId="16" fillId="0" borderId="0" xfId="0" applyFont="1" applyAlignment="1">
      <alignment vertical="center"/>
    </xf>
    <xf numFmtId="0" fontId="0" fillId="0" borderId="0" xfId="0" applyAlignment="1">
      <alignment horizontal="center" vertical="center"/>
    </xf>
    <xf numFmtId="166" fontId="0" fillId="0" borderId="0" xfId="0" applyNumberFormat="1"/>
    <xf numFmtId="4" fontId="0" fillId="0" borderId="0" xfId="0" applyNumberFormat="1"/>
    <xf numFmtId="43" fontId="17" fillId="6" borderId="0" xfId="3" applyFont="1" applyFill="1" applyAlignment="1">
      <alignment horizontal="center"/>
    </xf>
    <xf numFmtId="49" fontId="0" fillId="0" borderId="0" xfId="0" applyNumberFormat="1"/>
    <xf numFmtId="0" fontId="1" fillId="0" borderId="0" xfId="0" applyFont="1" applyAlignment="1">
      <alignment horizontal="center"/>
    </xf>
    <xf numFmtId="4" fontId="1" fillId="0" borderId="0" xfId="3" applyNumberFormat="1" applyFont="1" applyFill="1" applyBorder="1"/>
    <xf numFmtId="14" fontId="0" fillId="0" borderId="0" xfId="0" applyNumberFormat="1"/>
    <xf numFmtId="4" fontId="0" fillId="0" borderId="48" xfId="0" applyNumberFormat="1" applyBorder="1"/>
    <xf numFmtId="4" fontId="13" fillId="0" borderId="0" xfId="0" applyNumberFormat="1" applyFont="1"/>
    <xf numFmtId="44" fontId="0" fillId="0" borderId="0" xfId="2" applyFont="1"/>
    <xf numFmtId="49" fontId="0" fillId="0" borderId="0" xfId="0" applyNumberFormat="1" applyAlignment="1">
      <alignment horizontal="center" vertical="center"/>
    </xf>
    <xf numFmtId="0" fontId="0" fillId="7" borderId="0" xfId="0" applyFill="1" applyAlignment="1">
      <alignment horizontal="left" vertical="top" wrapText="1"/>
    </xf>
    <xf numFmtId="0" fontId="4" fillId="2" borderId="2" xfId="0" applyFont="1" applyFill="1" applyBorder="1" applyAlignment="1">
      <alignment horizontal="center" vertical="center"/>
    </xf>
    <xf numFmtId="18" fontId="0" fillId="0" borderId="0" xfId="0" applyNumberFormat="1" applyAlignment="1">
      <alignment horizontal="center" vertical="center"/>
    </xf>
    <xf numFmtId="14" fontId="4" fillId="2" borderId="1" xfId="0" applyNumberFormat="1" applyFont="1" applyFill="1" applyBorder="1" applyAlignment="1">
      <alignment horizontal="center" vertical="center"/>
    </xf>
    <xf numFmtId="0" fontId="18" fillId="0" borderId="0" xfId="0" applyFont="1" applyAlignment="1">
      <alignment horizontal="left" vertical="top" wrapText="1"/>
    </xf>
    <xf numFmtId="14" fontId="3" fillId="0" borderId="11" xfId="0" applyNumberFormat="1" applyFont="1" applyBorder="1" applyAlignment="1">
      <alignment horizontal="center"/>
    </xf>
    <xf numFmtId="0" fontId="2" fillId="7" borderId="0" xfId="0" applyFont="1" applyFill="1" applyAlignment="1">
      <alignment horizontal="left" vertical="top" wrapText="1"/>
    </xf>
    <xf numFmtId="8" fontId="3" fillId="0" borderId="34" xfId="2" applyNumberFormat="1" applyFont="1" applyBorder="1" applyAlignment="1">
      <alignment horizontal="center"/>
    </xf>
    <xf numFmtId="0" fontId="0" fillId="0" borderId="11" xfId="0" applyBorder="1"/>
    <xf numFmtId="0" fontId="7" fillId="4" borderId="49" xfId="0" applyFont="1" applyFill="1" applyBorder="1" applyAlignment="1">
      <alignment horizontal="center"/>
    </xf>
    <xf numFmtId="44" fontId="7" fillId="4" borderId="50" xfId="0" applyNumberFormat="1" applyFont="1" applyFill="1" applyBorder="1" applyAlignment="1">
      <alignment horizontal="center"/>
    </xf>
    <xf numFmtId="0" fontId="7" fillId="4" borderId="50" xfId="0" applyFont="1" applyFill="1" applyBorder="1" applyAlignment="1">
      <alignment horizontal="center"/>
    </xf>
    <xf numFmtId="8" fontId="7" fillId="4" borderId="51" xfId="0" applyNumberFormat="1" applyFont="1" applyFill="1" applyBorder="1" applyAlignment="1">
      <alignment horizontal="center"/>
    </xf>
    <xf numFmtId="0" fontId="3" fillId="0" borderId="8" xfId="0" applyFont="1" applyBorder="1" applyAlignment="1">
      <alignment horizontal="center"/>
    </xf>
    <xf numFmtId="8" fontId="3" fillId="0" borderId="8" xfId="2" applyNumberFormat="1" applyFont="1" applyBorder="1" applyAlignment="1">
      <alignment horizontal="center"/>
    </xf>
    <xf numFmtId="0" fontId="8" fillId="3" borderId="32" xfId="0" applyFont="1" applyFill="1" applyBorder="1" applyAlignment="1" applyProtection="1">
      <alignment horizontal="center"/>
      <protection locked="0"/>
    </xf>
    <xf numFmtId="0" fontId="0" fillId="3" borderId="32" xfId="0" applyFill="1" applyBorder="1" applyAlignment="1" applyProtection="1">
      <alignment horizontal="center"/>
      <protection locked="0"/>
    </xf>
    <xf numFmtId="0" fontId="8" fillId="3" borderId="19" xfId="0" applyFont="1" applyFill="1" applyBorder="1" applyAlignment="1" applyProtection="1">
      <alignment horizontal="center"/>
      <protection locked="0"/>
    </xf>
    <xf numFmtId="0" fontId="0" fillId="3" borderId="19" xfId="0" applyFill="1" applyBorder="1" applyAlignment="1" applyProtection="1">
      <alignment horizontal="center"/>
      <protection locked="0"/>
    </xf>
    <xf numFmtId="0" fontId="0" fillId="3" borderId="38" xfId="0" applyFill="1" applyBorder="1" applyAlignment="1" applyProtection="1">
      <alignment horizontal="center"/>
      <protection locked="0"/>
    </xf>
    <xf numFmtId="0" fontId="3" fillId="3" borderId="17" xfId="0" applyFont="1" applyFill="1" applyBorder="1" applyAlignment="1">
      <alignment horizontal="center" wrapText="1"/>
    </xf>
    <xf numFmtId="0" fontId="3" fillId="0" borderId="0" xfId="0" applyFont="1" applyAlignment="1">
      <alignment horizontal="center" wrapText="1"/>
    </xf>
    <xf numFmtId="0" fontId="3" fillId="0" borderId="18" xfId="0" applyFont="1" applyBorder="1" applyAlignment="1">
      <alignment horizontal="center" wrapText="1"/>
    </xf>
    <xf numFmtId="0" fontId="7" fillId="2" borderId="40" xfId="0" applyFont="1" applyFill="1" applyBorder="1" applyAlignment="1" applyProtection="1">
      <alignment horizontal="center"/>
      <protection locked="0"/>
    </xf>
    <xf numFmtId="0" fontId="7" fillId="2" borderId="42" xfId="0" applyFont="1" applyFill="1" applyBorder="1" applyAlignment="1" applyProtection="1">
      <alignment horizontal="center"/>
      <protection locked="0"/>
    </xf>
    <xf numFmtId="0" fontId="7" fillId="2" borderId="41" xfId="0" applyFont="1" applyFill="1" applyBorder="1" applyAlignment="1" applyProtection="1">
      <alignment horizontal="center"/>
      <protection locked="0"/>
    </xf>
    <xf numFmtId="0" fontId="6" fillId="3" borderId="15" xfId="0" applyFont="1" applyFill="1" applyBorder="1" applyProtection="1">
      <protection locked="0"/>
    </xf>
    <xf numFmtId="0" fontId="6" fillId="3" borderId="16" xfId="0" applyFont="1" applyFill="1" applyBorder="1" applyProtection="1">
      <protection locked="0"/>
    </xf>
    <xf numFmtId="0" fontId="6" fillId="3" borderId="30" xfId="0" applyFont="1" applyFill="1" applyBorder="1" applyProtection="1">
      <protection locked="0"/>
    </xf>
    <xf numFmtId="0" fontId="6" fillId="0" borderId="31" xfId="0" applyFont="1" applyBorder="1" applyProtection="1">
      <protection locked="0"/>
    </xf>
    <xf numFmtId="0" fontId="6" fillId="0" borderId="32" xfId="0" applyFont="1" applyBorder="1" applyProtection="1">
      <protection locked="0"/>
    </xf>
    <xf numFmtId="0" fontId="6" fillId="0" borderId="33" xfId="0" applyFont="1" applyBorder="1" applyProtection="1">
      <protection locked="0"/>
    </xf>
    <xf numFmtId="0" fontId="2" fillId="0" borderId="43" xfId="0" applyFont="1" applyBorder="1" applyAlignment="1" applyProtection="1">
      <alignment horizontal="center" vertical="center" wrapText="1"/>
      <protection locked="0"/>
    </xf>
    <xf numFmtId="0" fontId="0" fillId="0" borderId="44" xfId="0" applyBorder="1" applyAlignment="1" applyProtection="1">
      <alignment horizontal="center" vertical="center" wrapText="1"/>
      <protection locked="0"/>
    </xf>
    <xf numFmtId="0" fontId="0" fillId="0" borderId="45" xfId="0" applyBorder="1" applyAlignment="1" applyProtection="1">
      <alignment horizontal="center" vertical="center" wrapText="1"/>
      <protection locked="0"/>
    </xf>
    <xf numFmtId="0" fontId="0" fillId="0" borderId="36" xfId="0" applyBorder="1" applyAlignment="1" applyProtection="1">
      <alignment horizontal="center" vertical="center" wrapText="1"/>
      <protection locked="0"/>
    </xf>
    <xf numFmtId="0" fontId="0" fillId="0" borderId="32"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6" fillId="3" borderId="15" xfId="0" applyFont="1" applyFill="1" applyBorder="1" applyAlignment="1" applyProtection="1">
      <alignment wrapText="1"/>
      <protection locked="0"/>
    </xf>
    <xf numFmtId="0" fontId="6" fillId="3" borderId="16" xfId="0" applyFont="1" applyFill="1" applyBorder="1" applyAlignment="1" applyProtection="1">
      <alignment wrapText="1"/>
      <protection locked="0"/>
    </xf>
    <xf numFmtId="0" fontId="6" fillId="3" borderId="30" xfId="0" applyFont="1" applyFill="1" applyBorder="1" applyAlignment="1" applyProtection="1">
      <alignment wrapText="1"/>
      <protection locked="0"/>
    </xf>
    <xf numFmtId="0" fontId="6" fillId="3" borderId="31" xfId="0" applyFont="1" applyFill="1" applyBorder="1" applyAlignment="1" applyProtection="1">
      <alignment wrapText="1"/>
      <protection locked="0"/>
    </xf>
    <xf numFmtId="0" fontId="6" fillId="3" borderId="32" xfId="0" applyFont="1" applyFill="1" applyBorder="1" applyAlignment="1" applyProtection="1">
      <alignment wrapText="1"/>
      <protection locked="0"/>
    </xf>
    <xf numFmtId="0" fontId="6" fillId="3" borderId="33" xfId="0" applyFont="1" applyFill="1" applyBorder="1" applyAlignment="1" applyProtection="1">
      <alignment wrapText="1"/>
      <protection locked="0"/>
    </xf>
    <xf numFmtId="44" fontId="7" fillId="3" borderId="16" xfId="2" applyFont="1" applyFill="1" applyBorder="1" applyAlignment="1" applyProtection="1">
      <alignment horizontal="center" wrapText="1"/>
    </xf>
    <xf numFmtId="44" fontId="7" fillId="3" borderId="35" xfId="2" applyFont="1" applyFill="1" applyBorder="1" applyAlignment="1" applyProtection="1">
      <alignment horizontal="center" wrapText="1"/>
    </xf>
    <xf numFmtId="44" fontId="7" fillId="3" borderId="32" xfId="2" applyFont="1" applyFill="1" applyBorder="1" applyAlignment="1" applyProtection="1">
      <alignment horizontal="center" wrapText="1"/>
    </xf>
    <xf numFmtId="44" fontId="7" fillId="3" borderId="37" xfId="2" applyFont="1" applyFill="1" applyBorder="1" applyAlignment="1" applyProtection="1">
      <alignment horizontal="center" wrapText="1"/>
    </xf>
    <xf numFmtId="0" fontId="2" fillId="3" borderId="32" xfId="0" applyFont="1" applyFill="1" applyBorder="1" applyAlignment="1" applyProtection="1">
      <alignment horizontal="center"/>
      <protection locked="0"/>
    </xf>
    <xf numFmtId="0" fontId="3" fillId="0" borderId="34" xfId="0" applyFont="1" applyBorder="1" applyAlignment="1" applyProtection="1">
      <alignment horizontal="center" wrapText="1"/>
      <protection locked="0"/>
    </xf>
    <xf numFmtId="0" fontId="6" fillId="0" borderId="16" xfId="0" applyFont="1" applyBorder="1" applyAlignment="1" applyProtection="1">
      <alignment horizontal="center" wrapText="1"/>
      <protection locked="0"/>
    </xf>
    <xf numFmtId="0" fontId="6" fillId="0" borderId="35" xfId="0" applyFont="1" applyBorder="1" applyAlignment="1" applyProtection="1">
      <alignment horizontal="center" wrapText="1"/>
      <protection locked="0"/>
    </xf>
    <xf numFmtId="0" fontId="6" fillId="0" borderId="36" xfId="0" applyFont="1" applyBorder="1" applyAlignment="1" applyProtection="1">
      <alignment horizontal="center" wrapText="1"/>
      <protection locked="0"/>
    </xf>
    <xf numFmtId="0" fontId="6" fillId="0" borderId="32" xfId="0" applyFont="1" applyBorder="1" applyAlignment="1" applyProtection="1">
      <alignment horizontal="center" wrapText="1"/>
      <protection locked="0"/>
    </xf>
    <xf numFmtId="0" fontId="6" fillId="0" borderId="37" xfId="0" applyFont="1" applyBorder="1" applyAlignment="1" applyProtection="1">
      <alignment horizontal="center" wrapText="1"/>
      <protection locked="0"/>
    </xf>
    <xf numFmtId="0" fontId="10" fillId="0" borderId="8" xfId="1" applyFont="1" applyBorder="1" applyAlignment="1" applyProtection="1">
      <alignment horizontal="center" vertical="center"/>
      <protection locked="0"/>
    </xf>
    <xf numFmtId="0" fontId="11" fillId="0" borderId="8" xfId="0" applyFont="1" applyBorder="1" applyAlignment="1" applyProtection="1">
      <alignment horizontal="center" vertical="center"/>
      <protection locked="0"/>
    </xf>
    <xf numFmtId="0" fontId="11" fillId="0" borderId="24" xfId="0" applyFont="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6" fillId="3" borderId="16" xfId="0" applyFont="1" applyFill="1" applyBorder="1" applyAlignment="1" applyProtection="1">
      <alignment vertical="center" wrapText="1"/>
      <protection locked="0"/>
    </xf>
    <xf numFmtId="0" fontId="6" fillId="0" borderId="17" xfId="0" applyFont="1" applyBorder="1" applyAlignment="1" applyProtection="1">
      <alignment vertical="center" wrapText="1"/>
      <protection locked="0"/>
    </xf>
    <xf numFmtId="0" fontId="6" fillId="0" borderId="0" xfId="0" applyFont="1" applyAlignment="1" applyProtection="1">
      <alignment vertical="center" wrapText="1"/>
      <protection locked="0"/>
    </xf>
    <xf numFmtId="0" fontId="6" fillId="0" borderId="31" xfId="0" applyFont="1" applyBorder="1" applyAlignment="1" applyProtection="1">
      <alignment vertical="center" wrapText="1"/>
      <protection locked="0"/>
    </xf>
    <xf numFmtId="0" fontId="6" fillId="0" borderId="32" xfId="0" applyFont="1" applyBorder="1" applyAlignment="1" applyProtection="1">
      <alignment vertical="center" wrapText="1"/>
      <protection locked="0"/>
    </xf>
    <xf numFmtId="0" fontId="3" fillId="0" borderId="34"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35" xfId="0" applyFont="1" applyBorder="1" applyAlignment="1" applyProtection="1">
      <alignment horizontal="center" vertical="center" wrapText="1"/>
      <protection locked="0"/>
    </xf>
    <xf numFmtId="0" fontId="6" fillId="0" borderId="3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8" xfId="0" applyFont="1" applyBorder="1" applyAlignment="1" applyProtection="1">
      <alignment horizontal="center" vertical="center" wrapText="1"/>
      <protection locked="0"/>
    </xf>
    <xf numFmtId="0" fontId="6" fillId="0" borderId="36"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6" fillId="0" borderId="36" xfId="0" applyFont="1" applyBorder="1" applyAlignment="1" applyProtection="1">
      <alignment horizontal="center" vertical="center" wrapText="1"/>
      <protection locked="0"/>
    </xf>
    <xf numFmtId="0" fontId="6" fillId="0" borderId="32" xfId="0" applyFont="1" applyBorder="1" applyAlignment="1" applyProtection="1">
      <alignment horizontal="center" vertical="center" wrapText="1"/>
      <protection locked="0"/>
    </xf>
    <xf numFmtId="0" fontId="6" fillId="0" borderId="37"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9" fillId="0" borderId="35" xfId="0" applyFont="1" applyBorder="1" applyAlignment="1" applyProtection="1">
      <alignment horizontal="center" vertical="center" wrapText="1"/>
      <protection locked="0"/>
    </xf>
    <xf numFmtId="0" fontId="9" fillId="0" borderId="39"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36" xfId="0" applyFont="1" applyBorder="1" applyAlignment="1" applyProtection="1">
      <alignment horizontal="center" vertical="center" wrapText="1"/>
      <protection locked="0"/>
    </xf>
    <xf numFmtId="0" fontId="9" fillId="0" borderId="32" xfId="0" applyFont="1" applyBorder="1" applyAlignment="1" applyProtection="1">
      <alignment horizontal="center" vertical="center" wrapText="1"/>
      <protection locked="0"/>
    </xf>
    <xf numFmtId="0" fontId="9" fillId="0" borderId="37" xfId="0" applyFont="1" applyBorder="1" applyAlignment="1" applyProtection="1">
      <alignment horizontal="center" vertical="center" wrapText="1"/>
      <protection locked="0"/>
    </xf>
    <xf numFmtId="0" fontId="7" fillId="4" borderId="40" xfId="0" applyFont="1" applyFill="1" applyBorder="1" applyAlignment="1" applyProtection="1">
      <alignment wrapText="1"/>
      <protection locked="0"/>
    </xf>
    <xf numFmtId="0" fontId="7" fillId="4" borderId="42" xfId="0" applyFont="1" applyFill="1" applyBorder="1" applyAlignment="1" applyProtection="1">
      <alignment wrapText="1"/>
      <protection locked="0"/>
    </xf>
    <xf numFmtId="0" fontId="7" fillId="4" borderId="41" xfId="0" applyFont="1" applyFill="1" applyBorder="1" applyAlignment="1" applyProtection="1">
      <alignment wrapText="1"/>
      <protection locked="0"/>
    </xf>
    <xf numFmtId="0" fontId="3" fillId="3" borderId="8" xfId="0" applyFont="1" applyFill="1" applyBorder="1" applyAlignment="1" applyProtection="1">
      <alignment horizontal="center"/>
      <protection locked="0"/>
    </xf>
    <xf numFmtId="0" fontId="3" fillId="0" borderId="8" xfId="0" applyFont="1" applyBorder="1" applyAlignment="1" applyProtection="1">
      <alignment horizontal="center"/>
      <protection locked="0"/>
    </xf>
    <xf numFmtId="0" fontId="8" fillId="3" borderId="8" xfId="0" applyFont="1" applyFill="1" applyBorder="1" applyAlignment="1" applyProtection="1">
      <alignment horizontal="center"/>
      <protection locked="0"/>
    </xf>
    <xf numFmtId="0" fontId="0" fillId="0" borderId="8" xfId="0" applyBorder="1" applyAlignment="1" applyProtection="1">
      <alignment horizontal="center"/>
      <protection locked="0"/>
    </xf>
    <xf numFmtId="49" fontId="8" fillId="3" borderId="27" xfId="0" applyNumberFormat="1" applyFont="1" applyFill="1" applyBorder="1" applyAlignment="1" applyProtection="1">
      <alignment horizontal="center"/>
      <protection locked="0"/>
    </xf>
    <xf numFmtId="49" fontId="0" fillId="0" borderId="19" xfId="0" applyNumberFormat="1" applyBorder="1" applyAlignment="1" applyProtection="1">
      <alignment horizontal="center"/>
      <protection locked="0"/>
    </xf>
    <xf numFmtId="49" fontId="0" fillId="0" borderId="46" xfId="0" applyNumberFormat="1" applyBorder="1" applyAlignment="1" applyProtection="1">
      <alignment horizontal="center"/>
      <protection locked="0"/>
    </xf>
    <xf numFmtId="0" fontId="7" fillId="2" borderId="40" xfId="0" applyFont="1" applyFill="1" applyBorder="1" applyAlignment="1">
      <alignment horizontal="center"/>
    </xf>
    <xf numFmtId="0" fontId="0" fillId="0" borderId="41" xfId="0" applyBorder="1" applyAlignment="1">
      <alignment horizontal="center"/>
    </xf>
    <xf numFmtId="0" fontId="6" fillId="3" borderId="5" xfId="0" applyFont="1" applyFill="1" applyBorder="1" applyProtection="1">
      <protection locked="0"/>
    </xf>
    <xf numFmtId="0" fontId="6" fillId="3" borderId="8" xfId="0" applyFont="1" applyFill="1" applyBorder="1" applyProtection="1">
      <protection locked="0"/>
    </xf>
    <xf numFmtId="0" fontId="6" fillId="3" borderId="27" xfId="0" applyFont="1" applyFill="1" applyBorder="1" applyProtection="1">
      <protection locked="0"/>
    </xf>
    <xf numFmtId="0" fontId="6" fillId="0" borderId="8" xfId="0" applyFont="1" applyBorder="1" applyAlignment="1" applyProtection="1">
      <alignment horizontal="center"/>
      <protection locked="0"/>
    </xf>
    <xf numFmtId="0" fontId="6" fillId="0" borderId="24" xfId="0" applyFont="1" applyBorder="1" applyAlignment="1" applyProtection="1">
      <alignment horizontal="center"/>
      <protection locked="0"/>
    </xf>
    <xf numFmtId="0" fontId="7" fillId="2" borderId="20" xfId="0" applyFont="1" applyFill="1" applyBorder="1" applyAlignment="1" applyProtection="1">
      <alignment horizontal="center"/>
      <protection locked="0"/>
    </xf>
    <xf numFmtId="0" fontId="7" fillId="2" borderId="21" xfId="0" applyFont="1" applyFill="1" applyBorder="1" applyAlignment="1" applyProtection="1">
      <alignment horizontal="center"/>
      <protection locked="0"/>
    </xf>
    <xf numFmtId="0" fontId="7" fillId="2" borderId="22" xfId="0" applyFont="1" applyFill="1" applyBorder="1" applyAlignment="1" applyProtection="1">
      <alignment horizontal="center"/>
      <protection locked="0"/>
    </xf>
    <xf numFmtId="0" fontId="3" fillId="0" borderId="34" xfId="0" applyFont="1" applyBorder="1" applyAlignment="1" applyProtection="1">
      <alignment horizontal="left" vertical="center" wrapText="1" indent="1"/>
      <protection locked="0"/>
    </xf>
    <xf numFmtId="0" fontId="0" fillId="0" borderId="16" xfId="0" applyBorder="1" applyAlignment="1" applyProtection="1">
      <alignment horizontal="left" vertical="center" wrapText="1" indent="1"/>
      <protection locked="0"/>
    </xf>
    <xf numFmtId="0" fontId="0" fillId="0" borderId="35" xfId="0" applyBorder="1" applyAlignment="1" applyProtection="1">
      <alignment horizontal="left" vertical="center" wrapText="1" indent="1"/>
      <protection locked="0"/>
    </xf>
    <xf numFmtId="0" fontId="0" fillId="0" borderId="39" xfId="0" applyBorder="1" applyAlignment="1" applyProtection="1">
      <alignment horizontal="left" vertical="center" wrapText="1" indent="1"/>
      <protection locked="0"/>
    </xf>
    <xf numFmtId="0" fontId="0" fillId="0" borderId="0" xfId="0" applyAlignment="1" applyProtection="1">
      <alignment horizontal="left" vertical="center" wrapText="1" indent="1"/>
      <protection locked="0"/>
    </xf>
    <xf numFmtId="0" fontId="0" fillId="0" borderId="18" xfId="0" applyBorder="1" applyAlignment="1" applyProtection="1">
      <alignment horizontal="left" vertical="center" wrapText="1" indent="1"/>
      <protection locked="0"/>
    </xf>
    <xf numFmtId="0" fontId="6" fillId="3" borderId="5" xfId="0" applyFont="1" applyFill="1" applyBorder="1" applyAlignment="1" applyProtection="1">
      <alignment vertical="center" wrapText="1"/>
      <protection locked="0"/>
    </xf>
    <xf numFmtId="0" fontId="6" fillId="3" borderId="8" xfId="0" applyFont="1" applyFill="1" applyBorder="1" applyAlignment="1" applyProtection="1">
      <alignment vertical="center" wrapText="1"/>
      <protection locked="0"/>
    </xf>
    <xf numFmtId="0" fontId="6" fillId="3" borderId="27" xfId="0" applyFont="1" applyFill="1" applyBorder="1" applyAlignment="1" applyProtection="1">
      <alignment vertical="center" wrapText="1"/>
      <protection locked="0"/>
    </xf>
    <xf numFmtId="0" fontId="6" fillId="0" borderId="5" xfId="0" applyFont="1" applyBorder="1" applyAlignment="1" applyProtection="1">
      <alignment vertical="center" wrapText="1"/>
      <protection locked="0"/>
    </xf>
    <xf numFmtId="0" fontId="6" fillId="0" borderId="8" xfId="0" applyFont="1" applyBorder="1" applyAlignment="1" applyProtection="1">
      <alignment vertical="center" wrapText="1"/>
      <protection locked="0"/>
    </xf>
    <xf numFmtId="0" fontId="6" fillId="0" borderId="27" xfId="0" applyFont="1" applyBorder="1" applyAlignment="1" applyProtection="1">
      <alignment vertical="center" wrapText="1"/>
      <protection locked="0"/>
    </xf>
    <xf numFmtId="0" fontId="3" fillId="3" borderId="19" xfId="0" applyFont="1" applyFill="1" applyBorder="1" applyAlignment="1" applyProtection="1">
      <alignment horizontal="center"/>
      <protection locked="0"/>
    </xf>
    <xf numFmtId="0" fontId="6" fillId="3" borderId="5" xfId="0" applyFont="1" applyFill="1" applyBorder="1" applyAlignment="1" applyProtection="1">
      <alignment vertical="center"/>
      <protection locked="0"/>
    </xf>
    <xf numFmtId="0" fontId="6" fillId="3" borderId="8" xfId="0" applyFont="1" applyFill="1" applyBorder="1" applyAlignment="1" applyProtection="1">
      <alignment vertical="center"/>
      <protection locked="0"/>
    </xf>
    <xf numFmtId="0" fontId="6" fillId="3" borderId="27" xfId="0" applyFont="1" applyFill="1" applyBorder="1" applyAlignment="1" applyProtection="1">
      <alignment vertical="center"/>
      <protection locked="0"/>
    </xf>
    <xf numFmtId="0" fontId="0" fillId="3" borderId="37" xfId="0" applyFill="1" applyBorder="1" applyAlignment="1" applyProtection="1">
      <alignment horizontal="center"/>
      <protection locked="0"/>
    </xf>
    <xf numFmtId="0" fontId="5" fillId="3" borderId="19" xfId="1" applyFill="1" applyBorder="1" applyAlignment="1" applyProtection="1">
      <alignment horizontal="center"/>
      <protection locked="0"/>
    </xf>
    <xf numFmtId="0" fontId="3" fillId="3" borderId="38" xfId="0" applyFont="1" applyFill="1" applyBorder="1" applyAlignment="1" applyProtection="1">
      <alignment horizontal="center"/>
      <protection locked="0"/>
    </xf>
    <xf numFmtId="17" fontId="3" fillId="0" borderId="27" xfId="0" applyNumberFormat="1" applyFont="1" applyBorder="1" applyAlignment="1" applyProtection="1">
      <alignment horizontal="center"/>
      <protection locked="0"/>
    </xf>
    <xf numFmtId="0" fontId="6" fillId="0" borderId="19" xfId="0" applyFont="1" applyBorder="1" applyAlignment="1" applyProtection="1">
      <alignment horizontal="center"/>
      <protection locked="0"/>
    </xf>
    <xf numFmtId="0" fontId="6" fillId="0" borderId="38" xfId="0" applyFont="1" applyBorder="1" applyAlignment="1" applyProtection="1">
      <alignment horizontal="center"/>
      <protection locked="0"/>
    </xf>
    <xf numFmtId="164" fontId="7" fillId="3" borderId="16" xfId="0" applyNumberFormat="1" applyFont="1" applyFill="1" applyBorder="1" applyAlignment="1" applyProtection="1">
      <alignment horizontal="center" vertical="center" wrapText="1"/>
      <protection locked="0"/>
    </xf>
    <xf numFmtId="164" fontId="7" fillId="3" borderId="32" xfId="0" applyNumberFormat="1" applyFont="1" applyFill="1" applyBorder="1" applyAlignment="1" applyProtection="1">
      <alignment horizontal="center" vertical="center" wrapText="1"/>
      <protection locked="0"/>
    </xf>
    <xf numFmtId="8" fontId="7" fillId="3" borderId="34" xfId="2" applyNumberFormat="1" applyFont="1" applyFill="1" applyBorder="1" applyAlignment="1" applyProtection="1">
      <alignment horizontal="center" wrapText="1"/>
    </xf>
    <xf numFmtId="8" fontId="7" fillId="3" borderId="16" xfId="2" applyNumberFormat="1" applyFont="1" applyFill="1" applyBorder="1" applyAlignment="1" applyProtection="1">
      <alignment horizontal="center" wrapText="1"/>
    </xf>
    <xf numFmtId="8" fontId="7" fillId="3" borderId="36" xfId="2" applyNumberFormat="1" applyFont="1" applyFill="1" applyBorder="1" applyAlignment="1" applyProtection="1">
      <alignment horizontal="center" wrapText="1"/>
    </xf>
    <xf numFmtId="8" fontId="7" fillId="3" borderId="32" xfId="2" applyNumberFormat="1" applyFont="1" applyFill="1" applyBorder="1" applyAlignment="1" applyProtection="1">
      <alignment horizontal="center" wrapText="1"/>
    </xf>
    <xf numFmtId="0" fontId="6" fillId="0" borderId="31" xfId="0" applyFont="1" applyBorder="1" applyAlignment="1" applyProtection="1">
      <alignment wrapText="1"/>
      <protection locked="0"/>
    </xf>
    <xf numFmtId="0" fontId="6" fillId="0" borderId="32" xfId="0" applyFont="1" applyBorder="1" applyAlignment="1" applyProtection="1">
      <alignment wrapText="1"/>
      <protection locked="0"/>
    </xf>
    <xf numFmtId="0" fontId="6" fillId="0" borderId="33" xfId="0" applyFont="1" applyBorder="1" applyAlignment="1" applyProtection="1">
      <alignment wrapText="1"/>
      <protection locked="0"/>
    </xf>
    <xf numFmtId="14" fontId="3" fillId="0" borderId="34" xfId="0" applyNumberFormat="1" applyFont="1" applyBorder="1" applyAlignment="1" applyProtection="1">
      <alignment horizontal="center" vertical="center" wrapText="1"/>
      <protection locked="0"/>
    </xf>
    <xf numFmtId="14" fontId="6" fillId="0" borderId="16" xfId="0" applyNumberFormat="1" applyFont="1" applyBorder="1" applyAlignment="1" applyProtection="1">
      <alignment horizontal="center" vertical="center" wrapText="1"/>
      <protection locked="0"/>
    </xf>
    <xf numFmtId="14" fontId="6" fillId="0" borderId="35" xfId="0" applyNumberFormat="1" applyFont="1" applyBorder="1" applyAlignment="1" applyProtection="1">
      <alignment horizontal="center" vertical="center" wrapText="1"/>
      <protection locked="0"/>
    </xf>
    <xf numFmtId="14" fontId="6" fillId="0" borderId="36" xfId="0" applyNumberFormat="1" applyFont="1" applyBorder="1" applyAlignment="1" applyProtection="1">
      <alignment horizontal="center" vertical="center" wrapText="1"/>
      <protection locked="0"/>
    </xf>
    <xf numFmtId="14" fontId="6" fillId="0" borderId="32" xfId="0" applyNumberFormat="1" applyFont="1" applyBorder="1" applyAlignment="1" applyProtection="1">
      <alignment horizontal="center" vertical="center" wrapText="1"/>
      <protection locked="0"/>
    </xf>
    <xf numFmtId="14" fontId="6" fillId="0" borderId="37" xfId="0" applyNumberFormat="1" applyFont="1" applyBorder="1" applyAlignment="1" applyProtection="1">
      <alignment horizontal="center" vertical="center" wrapText="1"/>
      <protection locked="0"/>
    </xf>
    <xf numFmtId="14" fontId="0" fillId="0" borderId="0" xfId="0" applyNumberFormat="1" applyAlignment="1">
      <alignment horizontal="center" vertical="center"/>
    </xf>
    <xf numFmtId="20" fontId="0" fillId="0" borderId="0" xfId="0" applyNumberFormat="1" applyAlignment="1">
      <alignment horizontal="center" vertical="center"/>
    </xf>
    <xf numFmtId="0" fontId="14" fillId="5" borderId="0" xfId="0" applyFont="1" applyFill="1" applyAlignment="1">
      <alignment horizontal="center"/>
    </xf>
  </cellXfs>
  <cellStyles count="6">
    <cellStyle name="Comma 2" xfId="4" xr:uid="{63FFE322-E8AC-4628-8059-A13D1032BF62}"/>
    <cellStyle name="Currency 2" xfId="5" xr:uid="{05D53A31-722C-425D-BC93-8B4DD52370C7}"/>
    <cellStyle name="Hipervínculo" xfId="1" builtinId="8"/>
    <cellStyle name="Millares" xfId="3"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50800</xdr:colOff>
      <xdr:row>22</xdr:row>
      <xdr:rowOff>158750</xdr:rowOff>
    </xdr:from>
    <xdr:to>
      <xdr:col>11</xdr:col>
      <xdr:colOff>250825</xdr:colOff>
      <xdr:row>22</xdr:row>
      <xdr:rowOff>158750</xdr:rowOff>
    </xdr:to>
    <xdr:sp macro="" textlink="" fLocksText="0">
      <xdr:nvSpPr>
        <xdr:cNvPr id="2050" name="Cuadro de texto 2">
          <a:extLst>
            <a:ext uri="{FF2B5EF4-FFF2-40B4-BE49-F238E27FC236}">
              <a16:creationId xmlns:a16="http://schemas.microsoft.com/office/drawing/2014/main" id="{00000000-0008-0000-0000-000002080000}"/>
            </a:ext>
          </a:extLst>
        </xdr:cNvPr>
        <xdr:cNvSpPr txBox="1">
          <a:spLocks noChangeArrowheads="1"/>
        </xdr:cNvSpPr>
      </xdr:nvSpPr>
      <xdr:spPr bwMode="auto">
        <a:xfrm>
          <a:off x="1333500" y="8337550"/>
          <a:ext cx="7950200" cy="1441450"/>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just" rtl="0">
            <a:defRPr sz="1000"/>
          </a:pPr>
          <a:endParaRPr lang="es-MX" sz="750" b="0" i="0" u="none" strike="noStrike" baseline="0">
            <a:solidFill>
              <a:srgbClr val="000000"/>
            </a:solidFill>
            <a:latin typeface="Arial"/>
            <a:cs typeface="Arial"/>
          </a:endParaRPr>
        </a:p>
        <a:p>
          <a:pPr algn="just" rtl="0">
            <a:defRPr sz="1000"/>
          </a:pPr>
          <a:r>
            <a:rPr lang="es-MX" sz="750" b="0" i="0" u="none" strike="noStrike" baseline="0">
              <a:solidFill>
                <a:srgbClr val="000000"/>
              </a:solidFill>
              <a:latin typeface="Arial"/>
              <a:cs typeface="Arial"/>
            </a:rPr>
            <a:t>Convenio de Prestación de Servicios Profesionales en Cobranza Extrajudicial que celebran por una parte DCS Debt Collection Services Mexico, en adelante "DCS", y por la otra CENTRO AUTOMOTRIZ RIO GRANDE, S. A. DE C. V., en adelante "El Cliente" y que someten a las siguientes CLAUSULAS: 1.- "El Cliente" declara que los datos que aparecen en este formato, pertenecen a una cuenta por cobrar que existe a su favor y que dichos datos son veraces en su totalidad. 2.- Ambas partes están de acuerdo que este convenio tiene una vigencia de 60 días naturales  contados  a  partir   de hoy 10/06/2010 y renovándose  a su terminación por un periodo igual de días de no mediar aviso de terminación de "El Cliente" al menos 15 días antes del plazo mencionado. 3.- Ambas partes acuerdan que la gestión exclusiva en la procuración del cobro de la deuda contenida en este convenio durante la vigencia del mismo, será a cargo de "DCS". 4.- Ambas partes acuerdan que el porcentaje a cobrar sobre las cantidades recuperadas será del 16%, y que en caso de que "DCS" no lograra recuperar ninguna cantidad, "El Cliente" no pagará cantidad o porcentaje alguno por concepto de Honorarios.  5.- "El cliente" está dispuesto a pagar un 5% por concepto de Aclaración de Cuenta si  la  cuenta  ya  estuviese  pagada  total  o parcialmente, dicho 5%  será  aplicable  según  el  monto  que  resultase  como  previamente  pagado. 6.- De igual forma, "El Cliente" está de acuerdo en pagar un  10% sobre la cantidad a recuperar  si existiera de su parte una cancelación prematura de este convenio o si Interveniera directamente con el deudor para lograr un acuerdo distinto al obtenido o en vías de obtener por DCS.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355023</xdr:colOff>
      <xdr:row>142</xdr:row>
      <xdr:rowOff>86590</xdr:rowOff>
    </xdr:from>
    <xdr:to>
      <xdr:col>17</xdr:col>
      <xdr:colOff>195485</xdr:colOff>
      <xdr:row>159</xdr:row>
      <xdr:rowOff>316634</xdr:rowOff>
    </xdr:to>
    <xdr:pic>
      <xdr:nvPicPr>
        <xdr:cNvPr id="2" name="Imagen 1">
          <a:extLst>
            <a:ext uri="{FF2B5EF4-FFF2-40B4-BE49-F238E27FC236}">
              <a16:creationId xmlns:a16="http://schemas.microsoft.com/office/drawing/2014/main" id="{0BDB0BF6-7641-8D0B-36F8-7DBC7A51997B}"/>
            </a:ext>
          </a:extLst>
        </xdr:cNvPr>
        <xdr:cNvPicPr>
          <a:picLocks noChangeAspect="1"/>
        </xdr:cNvPicPr>
      </xdr:nvPicPr>
      <xdr:blipFill>
        <a:blip xmlns:r="http://schemas.openxmlformats.org/officeDocument/2006/relationships" r:embed="rId1"/>
        <a:stretch>
          <a:fillRect/>
        </a:stretch>
      </xdr:blipFill>
      <xdr:spPr>
        <a:xfrm>
          <a:off x="9602932" y="44144045"/>
          <a:ext cx="10898121" cy="4143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129540</xdr:rowOff>
    </xdr:from>
    <xdr:to>
      <xdr:col>1</xdr:col>
      <xdr:colOff>255270</xdr:colOff>
      <xdr:row>5</xdr:row>
      <xdr:rowOff>53340</xdr:rowOff>
    </xdr:to>
    <xdr:pic>
      <xdr:nvPicPr>
        <xdr:cNvPr id="2" name="Picture 4">
          <a:extLst>
            <a:ext uri="{FF2B5EF4-FFF2-40B4-BE49-F238E27FC236}">
              <a16:creationId xmlns:a16="http://schemas.microsoft.com/office/drawing/2014/main" id="{D6A60BC7-5FE7-47D9-9C41-2280F436B81D}"/>
            </a:ext>
          </a:extLst>
        </xdr:cNvPr>
        <xdr:cNvPicPr>
          <a:picLocks noChangeAspect="1"/>
        </xdr:cNvPicPr>
      </xdr:nvPicPr>
      <xdr:blipFill>
        <a:blip xmlns:r="http://schemas.openxmlformats.org/officeDocument/2006/relationships" r:embed="rId1"/>
        <a:stretch>
          <a:fillRect/>
        </a:stretch>
      </xdr:blipFill>
      <xdr:spPr>
        <a:xfrm>
          <a:off x="0" y="320040"/>
          <a:ext cx="1017270" cy="5715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jaime.ramirez@axalta.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workbookViewId="0">
      <selection activeCell="H4" sqref="H4:H5"/>
    </sheetView>
  </sheetViews>
  <sheetFormatPr baseColWidth="10" defaultColWidth="9.140625" defaultRowHeight="12.75" x14ac:dyDescent="0.2"/>
  <cols>
    <col min="1" max="1" width="12.28515625" style="20" customWidth="1"/>
    <col min="2" max="2" width="12.42578125" style="20" customWidth="1"/>
    <col min="3" max="3" width="10.140625" style="20" customWidth="1"/>
    <col min="4" max="4" width="1.42578125" style="20" customWidth="1"/>
    <col min="5" max="5" width="10" style="20" customWidth="1"/>
    <col min="6" max="6" width="1.7109375" style="20" customWidth="1"/>
    <col min="7" max="7" width="16.7109375" style="20" customWidth="1"/>
    <col min="8" max="8" width="23.5703125" style="20" bestFit="1" customWidth="1"/>
    <col min="9" max="9" width="2.7109375" style="20" customWidth="1"/>
    <col min="10" max="10" width="10.5703125" style="20" customWidth="1"/>
    <col min="11" max="11" width="9.140625" style="20" customWidth="1"/>
    <col min="12" max="12" width="4.28515625" style="20" customWidth="1"/>
    <col min="13" max="14" width="9.140625" style="8"/>
    <col min="15" max="15" width="10.140625" style="8" bestFit="1" customWidth="1"/>
    <col min="16" max="16384" width="9.140625" style="8"/>
  </cols>
  <sheetData>
    <row r="1" spans="1:14" ht="13.5" thickBot="1" x14ac:dyDescent="0.25">
      <c r="A1" s="116" t="s">
        <v>9</v>
      </c>
      <c r="B1" s="117"/>
      <c r="C1" s="117"/>
      <c r="D1" s="117"/>
      <c r="E1" s="117"/>
      <c r="F1" s="117"/>
      <c r="G1" s="117"/>
      <c r="H1" s="117"/>
      <c r="I1" s="117"/>
      <c r="J1" s="117"/>
      <c r="K1" s="117"/>
      <c r="L1" s="118"/>
      <c r="M1" s="188" t="s">
        <v>4</v>
      </c>
      <c r="N1" s="189"/>
    </row>
    <row r="2" spans="1:14" ht="12.75" customHeight="1" x14ac:dyDescent="0.2">
      <c r="A2" s="119" t="s">
        <v>10</v>
      </c>
      <c r="B2" s="120"/>
      <c r="C2" s="121"/>
      <c r="D2" s="125" t="s">
        <v>69</v>
      </c>
      <c r="E2" s="126"/>
      <c r="F2" s="126"/>
      <c r="G2" s="126"/>
      <c r="H2" s="126"/>
      <c r="I2" s="126"/>
      <c r="J2" s="126"/>
      <c r="K2" s="126"/>
      <c r="L2" s="127"/>
      <c r="M2" s="16" t="s">
        <v>5</v>
      </c>
      <c r="N2" s="45" t="s">
        <v>68</v>
      </c>
    </row>
    <row r="3" spans="1:14" x14ac:dyDescent="0.2">
      <c r="A3" s="122"/>
      <c r="B3" s="123"/>
      <c r="C3" s="124"/>
      <c r="D3" s="128"/>
      <c r="E3" s="129"/>
      <c r="F3" s="129"/>
      <c r="G3" s="129"/>
      <c r="H3" s="129"/>
      <c r="I3" s="129"/>
      <c r="J3" s="129"/>
      <c r="K3" s="129"/>
      <c r="L3" s="130"/>
      <c r="M3" s="17" t="s">
        <v>6</v>
      </c>
      <c r="N3" s="46">
        <v>45015</v>
      </c>
    </row>
    <row r="4" spans="1:14" ht="13.5" thickBot="1" x14ac:dyDescent="0.25">
      <c r="A4" s="131" t="s">
        <v>11</v>
      </c>
      <c r="B4" s="132"/>
      <c r="C4" s="133"/>
      <c r="D4" s="222"/>
      <c r="E4" s="223"/>
      <c r="F4" s="223"/>
      <c r="G4" s="223"/>
      <c r="H4" s="220">
        <v>997818.29</v>
      </c>
      <c r="I4" s="137"/>
      <c r="J4" s="137"/>
      <c r="K4" s="137"/>
      <c r="L4" s="138"/>
      <c r="M4" s="18" t="s">
        <v>27</v>
      </c>
      <c r="N4" s="19" t="s">
        <v>65</v>
      </c>
    </row>
    <row r="5" spans="1:14" x14ac:dyDescent="0.2">
      <c r="A5" s="134"/>
      <c r="B5" s="135"/>
      <c r="C5" s="136"/>
      <c r="D5" s="224"/>
      <c r="E5" s="225"/>
      <c r="F5" s="225"/>
      <c r="G5" s="225"/>
      <c r="H5" s="221"/>
      <c r="I5" s="139"/>
      <c r="J5" s="139"/>
      <c r="K5" s="139"/>
      <c r="L5" s="140"/>
    </row>
    <row r="6" spans="1:14" x14ac:dyDescent="0.2">
      <c r="A6" s="131" t="s">
        <v>12</v>
      </c>
      <c r="B6" s="132"/>
      <c r="C6" s="133"/>
      <c r="D6" s="229" t="s">
        <v>70</v>
      </c>
      <c r="E6" s="230"/>
      <c r="F6" s="230"/>
      <c r="G6" s="230"/>
      <c r="H6" s="230"/>
      <c r="I6" s="230"/>
      <c r="J6" s="230"/>
      <c r="K6" s="230"/>
      <c r="L6" s="231"/>
    </row>
    <row r="7" spans="1:14" x14ac:dyDescent="0.2">
      <c r="A7" s="226"/>
      <c r="B7" s="227"/>
      <c r="C7" s="228"/>
      <c r="D7" s="232"/>
      <c r="E7" s="233"/>
      <c r="F7" s="233"/>
      <c r="G7" s="233"/>
      <c r="H7" s="233"/>
      <c r="I7" s="233"/>
      <c r="J7" s="233"/>
      <c r="K7" s="233"/>
      <c r="L7" s="234"/>
    </row>
    <row r="8" spans="1:14" x14ac:dyDescent="0.2">
      <c r="A8" s="131" t="s">
        <v>13</v>
      </c>
      <c r="B8" s="132"/>
      <c r="C8" s="133"/>
      <c r="D8" s="157" t="s">
        <v>61</v>
      </c>
      <c r="E8" s="158"/>
      <c r="F8" s="158"/>
      <c r="G8" s="158"/>
      <c r="H8" s="158"/>
      <c r="I8" s="158"/>
      <c r="J8" s="158"/>
      <c r="K8" s="158"/>
      <c r="L8" s="159"/>
    </row>
    <row r="9" spans="1:14" x14ac:dyDescent="0.2">
      <c r="A9" s="226"/>
      <c r="B9" s="227"/>
      <c r="C9" s="228"/>
      <c r="D9" s="166"/>
      <c r="E9" s="167"/>
      <c r="F9" s="167"/>
      <c r="G9" s="167"/>
      <c r="H9" s="167"/>
      <c r="I9" s="167"/>
      <c r="J9" s="167"/>
      <c r="K9" s="167"/>
      <c r="L9" s="168"/>
    </row>
    <row r="10" spans="1:14" ht="12.75" customHeight="1" x14ac:dyDescent="0.2">
      <c r="A10" s="131" t="s">
        <v>15</v>
      </c>
      <c r="B10" s="132"/>
      <c r="C10" s="133"/>
      <c r="D10" s="198" t="s">
        <v>72</v>
      </c>
      <c r="E10" s="199"/>
      <c r="F10" s="199"/>
      <c r="G10" s="199"/>
      <c r="H10" s="199"/>
      <c r="I10" s="199"/>
      <c r="J10" s="199"/>
      <c r="K10" s="199"/>
      <c r="L10" s="200"/>
    </row>
    <row r="11" spans="1:14" x14ac:dyDescent="0.2">
      <c r="A11" s="226"/>
      <c r="B11" s="227"/>
      <c r="C11" s="228"/>
      <c r="D11" s="201"/>
      <c r="E11" s="202"/>
      <c r="F11" s="202"/>
      <c r="G11" s="202"/>
      <c r="H11" s="202"/>
      <c r="I11" s="202"/>
      <c r="J11" s="202"/>
      <c r="K11" s="202"/>
      <c r="L11" s="203"/>
    </row>
    <row r="12" spans="1:14" x14ac:dyDescent="0.2">
      <c r="A12" s="131" t="s">
        <v>14</v>
      </c>
      <c r="B12" s="132"/>
      <c r="C12" s="133"/>
      <c r="D12" s="142" t="s">
        <v>71</v>
      </c>
      <c r="E12" s="143"/>
      <c r="F12" s="143"/>
      <c r="G12" s="143"/>
      <c r="H12" s="143"/>
      <c r="I12" s="143"/>
      <c r="J12" s="143"/>
      <c r="K12" s="143"/>
      <c r="L12" s="144"/>
    </row>
    <row r="13" spans="1:14" x14ac:dyDescent="0.2">
      <c r="A13" s="226"/>
      <c r="B13" s="227"/>
      <c r="C13" s="228"/>
      <c r="D13" s="145"/>
      <c r="E13" s="146"/>
      <c r="F13" s="146"/>
      <c r="G13" s="146"/>
      <c r="H13" s="146"/>
      <c r="I13" s="146"/>
      <c r="J13" s="146"/>
      <c r="K13" s="146"/>
      <c r="L13" s="147"/>
    </row>
    <row r="14" spans="1:14" x14ac:dyDescent="0.2">
      <c r="A14" s="190" t="s">
        <v>16</v>
      </c>
      <c r="B14" s="191"/>
      <c r="C14" s="192"/>
      <c r="D14" s="182" t="s">
        <v>66</v>
      </c>
      <c r="E14" s="193"/>
      <c r="F14" s="193"/>
      <c r="G14" s="193"/>
      <c r="H14" s="193"/>
      <c r="I14" s="193"/>
      <c r="J14" s="193"/>
      <c r="K14" s="193"/>
      <c r="L14" s="194"/>
    </row>
    <row r="15" spans="1:14" x14ac:dyDescent="0.2">
      <c r="A15" s="204" t="s">
        <v>17</v>
      </c>
      <c r="B15" s="205"/>
      <c r="C15" s="206"/>
      <c r="D15" s="169" t="s">
        <v>63</v>
      </c>
      <c r="E15" s="170"/>
      <c r="F15" s="170"/>
      <c r="G15" s="170"/>
      <c r="H15" s="170"/>
      <c r="I15" s="170"/>
      <c r="J15" s="170"/>
      <c r="K15" s="170"/>
      <c r="L15" s="171"/>
    </row>
    <row r="16" spans="1:14" x14ac:dyDescent="0.2">
      <c r="A16" s="207"/>
      <c r="B16" s="208"/>
      <c r="C16" s="209"/>
      <c r="D16" s="172"/>
      <c r="E16" s="173"/>
      <c r="F16" s="173"/>
      <c r="G16" s="173"/>
      <c r="H16" s="173"/>
      <c r="I16" s="173"/>
      <c r="J16" s="173"/>
      <c r="K16" s="173"/>
      <c r="L16" s="174"/>
    </row>
    <row r="17" spans="1:12" x14ac:dyDescent="0.2">
      <c r="A17" s="207"/>
      <c r="B17" s="208"/>
      <c r="C17" s="209"/>
      <c r="D17" s="175"/>
      <c r="E17" s="176"/>
      <c r="F17" s="176"/>
      <c r="G17" s="176"/>
      <c r="H17" s="176"/>
      <c r="I17" s="176"/>
      <c r="J17" s="176"/>
      <c r="K17" s="176"/>
      <c r="L17" s="177"/>
    </row>
    <row r="18" spans="1:12" x14ac:dyDescent="0.2">
      <c r="A18" s="211" t="s">
        <v>18</v>
      </c>
      <c r="B18" s="212"/>
      <c r="C18" s="213"/>
      <c r="D18" s="148"/>
      <c r="E18" s="149"/>
      <c r="F18" s="149"/>
      <c r="G18" s="149"/>
      <c r="H18" s="149"/>
      <c r="I18" s="149"/>
      <c r="J18" s="149"/>
      <c r="K18" s="149"/>
      <c r="L18" s="150"/>
    </row>
    <row r="19" spans="1:12" x14ac:dyDescent="0.2">
      <c r="A19" s="151" t="s">
        <v>26</v>
      </c>
      <c r="B19" s="152"/>
      <c r="C19" s="152"/>
      <c r="D19" s="157" t="s">
        <v>67</v>
      </c>
      <c r="E19" s="158"/>
      <c r="F19" s="158"/>
      <c r="G19" s="158"/>
      <c r="H19" s="158"/>
      <c r="I19" s="158"/>
      <c r="J19" s="158"/>
      <c r="K19" s="158"/>
      <c r="L19" s="159"/>
    </row>
    <row r="20" spans="1:12" x14ac:dyDescent="0.2">
      <c r="A20" s="153"/>
      <c r="B20" s="154"/>
      <c r="C20" s="154"/>
      <c r="D20" s="160"/>
      <c r="E20" s="161"/>
      <c r="F20" s="161"/>
      <c r="G20" s="161"/>
      <c r="H20" s="161"/>
      <c r="I20" s="161"/>
      <c r="J20" s="161"/>
      <c r="K20" s="161"/>
      <c r="L20" s="162"/>
    </row>
    <row r="21" spans="1:12" x14ac:dyDescent="0.2">
      <c r="A21" s="155"/>
      <c r="B21" s="156"/>
      <c r="C21" s="156"/>
      <c r="D21" s="163"/>
      <c r="E21" s="164"/>
      <c r="F21" s="164"/>
      <c r="G21" s="164"/>
      <c r="H21" s="164"/>
      <c r="I21" s="164"/>
      <c r="J21" s="164"/>
      <c r="K21" s="164"/>
      <c r="L21" s="165"/>
    </row>
    <row r="22" spans="1:12" x14ac:dyDescent="0.2">
      <c r="A22" s="39" t="s">
        <v>7</v>
      </c>
      <c r="B22" s="40"/>
      <c r="C22" s="40"/>
      <c r="D22" s="41"/>
      <c r="E22" s="41"/>
      <c r="F22" s="217" t="s">
        <v>64</v>
      </c>
      <c r="G22" s="218"/>
      <c r="H22" s="218"/>
      <c r="I22" s="218"/>
      <c r="J22" s="218"/>
      <c r="K22" s="218"/>
      <c r="L22" s="219"/>
    </row>
    <row r="23" spans="1:12" x14ac:dyDescent="0.2">
      <c r="A23" s="42" t="s">
        <v>19</v>
      </c>
      <c r="B23" s="43"/>
      <c r="C23" s="43"/>
      <c r="D23" s="43"/>
      <c r="E23" s="43"/>
      <c r="F23" s="43"/>
      <c r="G23" s="48"/>
      <c r="H23" s="44"/>
      <c r="I23" s="47"/>
      <c r="J23" s="48"/>
      <c r="K23" s="43"/>
      <c r="L23" s="54" t="s">
        <v>62</v>
      </c>
    </row>
    <row r="24" spans="1:12" ht="13.5" thickBot="1" x14ac:dyDescent="0.25">
      <c r="A24" s="195" t="s">
        <v>8</v>
      </c>
      <c r="B24" s="196"/>
      <c r="C24" s="196"/>
      <c r="D24" s="196"/>
      <c r="E24" s="196"/>
      <c r="F24" s="196"/>
      <c r="G24" s="196"/>
      <c r="H24" s="196"/>
      <c r="I24" s="196"/>
      <c r="J24" s="196"/>
      <c r="K24" s="196"/>
      <c r="L24" s="197"/>
    </row>
    <row r="25" spans="1:12" x14ac:dyDescent="0.2">
      <c r="A25" s="59"/>
      <c r="B25" s="60"/>
      <c r="C25" s="60"/>
      <c r="D25" s="60"/>
      <c r="E25" s="60"/>
      <c r="F25" s="60"/>
      <c r="G25" s="60"/>
      <c r="H25" s="60"/>
      <c r="I25" s="60"/>
      <c r="J25" s="60"/>
      <c r="K25" s="60"/>
      <c r="L25" s="61"/>
    </row>
    <row r="26" spans="1:12" x14ac:dyDescent="0.2">
      <c r="A26" s="57" t="s">
        <v>34</v>
      </c>
      <c r="B26" s="141" t="s">
        <v>35</v>
      </c>
      <c r="C26" s="109"/>
      <c r="D26" s="109"/>
      <c r="E26" s="109"/>
      <c r="F26" s="109"/>
      <c r="G26" s="109"/>
      <c r="H26" s="62" t="s">
        <v>36</v>
      </c>
      <c r="I26" s="108" t="s">
        <v>37</v>
      </c>
      <c r="J26" s="109"/>
      <c r="K26" s="109"/>
      <c r="L26" s="214"/>
    </row>
    <row r="27" spans="1:12" x14ac:dyDescent="0.2">
      <c r="A27" s="57" t="s">
        <v>38</v>
      </c>
      <c r="B27" s="210" t="s">
        <v>39</v>
      </c>
      <c r="C27" s="210"/>
      <c r="D27" s="210"/>
      <c r="E27" s="63" t="s">
        <v>40</v>
      </c>
      <c r="F27" s="210" t="s">
        <v>41</v>
      </c>
      <c r="G27" s="210"/>
      <c r="H27" s="62" t="s">
        <v>42</v>
      </c>
      <c r="I27" s="215" t="s">
        <v>43</v>
      </c>
      <c r="J27" s="210"/>
      <c r="K27" s="210"/>
      <c r="L27" s="216"/>
    </row>
    <row r="28" spans="1:12" x14ac:dyDescent="0.2">
      <c r="A28" s="57" t="s">
        <v>44</v>
      </c>
      <c r="B28" s="108" t="s">
        <v>45</v>
      </c>
      <c r="C28" s="109"/>
      <c r="D28" s="62"/>
      <c r="E28" s="63" t="s">
        <v>46</v>
      </c>
      <c r="F28" s="111">
        <v>66600</v>
      </c>
      <c r="G28" s="111"/>
      <c r="H28" s="62" t="s">
        <v>47</v>
      </c>
      <c r="I28" s="110" t="s">
        <v>48</v>
      </c>
      <c r="J28" s="111"/>
      <c r="K28" s="111"/>
      <c r="L28" s="112"/>
    </row>
    <row r="29" spans="1:12" x14ac:dyDescent="0.2">
      <c r="A29" s="57" t="s">
        <v>49</v>
      </c>
      <c r="B29" s="58" t="s">
        <v>50</v>
      </c>
      <c r="C29" s="64" t="s">
        <v>51</v>
      </c>
      <c r="D29" s="8"/>
      <c r="E29" s="108" t="s">
        <v>52</v>
      </c>
      <c r="F29" s="109"/>
      <c r="G29" s="109"/>
      <c r="H29" s="62" t="s">
        <v>53</v>
      </c>
      <c r="I29" s="110" t="s">
        <v>54</v>
      </c>
      <c r="J29" s="111"/>
      <c r="K29" s="111"/>
      <c r="L29" s="112"/>
    </row>
    <row r="30" spans="1:12" x14ac:dyDescent="0.2">
      <c r="A30" s="57"/>
      <c r="B30" s="8"/>
      <c r="C30" s="64"/>
      <c r="D30" s="8"/>
      <c r="E30" s="62"/>
      <c r="F30" s="62"/>
      <c r="G30" s="62"/>
      <c r="H30" s="62"/>
      <c r="I30" s="62"/>
      <c r="J30" s="62"/>
      <c r="K30" s="62"/>
      <c r="L30" s="56"/>
    </row>
    <row r="31" spans="1:12" x14ac:dyDescent="0.2">
      <c r="A31" s="113" t="s">
        <v>55</v>
      </c>
      <c r="B31" s="114"/>
      <c r="C31" s="114"/>
      <c r="D31" s="114"/>
      <c r="E31" s="114"/>
      <c r="F31" s="114"/>
      <c r="G31" s="114"/>
      <c r="H31" s="114"/>
      <c r="I31" s="114"/>
      <c r="J31" s="114"/>
      <c r="K31" s="114"/>
      <c r="L31" s="115"/>
    </row>
    <row r="32" spans="1:12" x14ac:dyDescent="0.2">
      <c r="A32" s="55"/>
      <c r="B32" s="65" t="s">
        <v>56</v>
      </c>
      <c r="C32" s="181" t="s">
        <v>57</v>
      </c>
      <c r="D32" s="182"/>
      <c r="E32" s="182"/>
      <c r="F32" s="181">
        <v>9999955</v>
      </c>
      <c r="G32" s="182"/>
      <c r="H32" s="182"/>
      <c r="I32" s="8"/>
      <c r="J32" s="8"/>
      <c r="K32" s="8"/>
      <c r="L32" s="56"/>
    </row>
    <row r="33" spans="1:12" x14ac:dyDescent="0.2">
      <c r="A33" s="55"/>
      <c r="B33" s="62"/>
      <c r="C33" s="183" t="s">
        <v>58</v>
      </c>
      <c r="D33" s="184"/>
      <c r="E33" s="184"/>
      <c r="F33" s="185" t="s">
        <v>59</v>
      </c>
      <c r="G33" s="186"/>
      <c r="H33" s="187"/>
      <c r="I33" s="62"/>
      <c r="J33" s="62"/>
      <c r="K33" s="62"/>
      <c r="L33" s="56"/>
    </row>
    <row r="34" spans="1:12" x14ac:dyDescent="0.2">
      <c r="A34" s="55" t="s">
        <v>60</v>
      </c>
      <c r="B34" s="8"/>
      <c r="C34" s="8"/>
      <c r="D34" s="8"/>
      <c r="E34" s="8"/>
      <c r="F34" s="8"/>
      <c r="G34" s="8"/>
      <c r="H34" s="8"/>
      <c r="I34" s="8"/>
      <c r="J34" s="8"/>
      <c r="K34" s="8"/>
      <c r="L34" s="56"/>
    </row>
    <row r="35" spans="1:12" x14ac:dyDescent="0.2">
      <c r="A35" s="55" t="s">
        <v>60</v>
      </c>
      <c r="B35" s="8" t="s">
        <v>60</v>
      </c>
      <c r="C35" s="8" t="s">
        <v>60</v>
      </c>
      <c r="D35" s="8"/>
      <c r="E35" s="8" t="s">
        <v>60</v>
      </c>
      <c r="F35" s="8"/>
      <c r="G35" s="8" t="s">
        <v>60</v>
      </c>
      <c r="H35" s="8" t="s">
        <v>60</v>
      </c>
      <c r="I35" s="8" t="s">
        <v>60</v>
      </c>
      <c r="J35" s="8" t="s">
        <v>60</v>
      </c>
      <c r="K35" s="8"/>
      <c r="L35" s="56"/>
    </row>
    <row r="36" spans="1:12" ht="13.5" thickBot="1" x14ac:dyDescent="0.25">
      <c r="A36" s="66"/>
      <c r="B36" s="67"/>
      <c r="C36" s="67"/>
      <c r="D36" s="67"/>
      <c r="E36" s="67"/>
      <c r="F36" s="67"/>
      <c r="G36" s="67"/>
      <c r="H36" s="67"/>
      <c r="I36" s="67"/>
      <c r="J36" s="67"/>
      <c r="K36" s="67"/>
      <c r="L36" s="68"/>
    </row>
    <row r="37" spans="1:12" ht="54" customHeight="1" thickBot="1" x14ac:dyDescent="0.25">
      <c r="A37" s="178" t="s">
        <v>28</v>
      </c>
      <c r="B37" s="179"/>
      <c r="C37" s="179"/>
      <c r="D37" s="179"/>
      <c r="E37" s="179"/>
      <c r="F37" s="179"/>
      <c r="G37" s="179"/>
      <c r="H37" s="179"/>
      <c r="I37" s="179"/>
      <c r="J37" s="179"/>
      <c r="K37" s="179"/>
      <c r="L37" s="180"/>
    </row>
    <row r="40" spans="1:12" ht="29.25" customHeight="1" x14ac:dyDescent="0.2"/>
    <row r="41" spans="1:12" ht="11.25" customHeight="1" x14ac:dyDescent="0.2"/>
    <row r="42" spans="1:12" ht="15" customHeight="1" x14ac:dyDescent="0.2"/>
    <row r="43" spans="1:12" ht="12.75" customHeight="1" x14ac:dyDescent="0.2"/>
  </sheetData>
  <mergeCells count="42">
    <mergeCell ref="A12:C13"/>
    <mergeCell ref="A10:C11"/>
    <mergeCell ref="A6:C7"/>
    <mergeCell ref="D6:L7"/>
    <mergeCell ref="A8:C9"/>
    <mergeCell ref="M1:N1"/>
    <mergeCell ref="I28:L28"/>
    <mergeCell ref="A14:C14"/>
    <mergeCell ref="D14:L14"/>
    <mergeCell ref="A24:L24"/>
    <mergeCell ref="D10:L11"/>
    <mergeCell ref="A15:C17"/>
    <mergeCell ref="F28:G28"/>
    <mergeCell ref="F27:G27"/>
    <mergeCell ref="A18:C18"/>
    <mergeCell ref="B27:D27"/>
    <mergeCell ref="I26:L26"/>
    <mergeCell ref="I27:L27"/>
    <mergeCell ref="F22:L22"/>
    <mergeCell ref="H4:H5"/>
    <mergeCell ref="D4:G5"/>
    <mergeCell ref="A37:L37"/>
    <mergeCell ref="C32:E32"/>
    <mergeCell ref="F32:H32"/>
    <mergeCell ref="C33:E33"/>
    <mergeCell ref="F33:H33"/>
    <mergeCell ref="E29:G29"/>
    <mergeCell ref="I29:L29"/>
    <mergeCell ref="A31:L31"/>
    <mergeCell ref="B28:C28"/>
    <mergeCell ref="A1:L1"/>
    <mergeCell ref="A2:C3"/>
    <mergeCell ref="D2:L3"/>
    <mergeCell ref="A4:C5"/>
    <mergeCell ref="I4:L5"/>
    <mergeCell ref="B26:G26"/>
    <mergeCell ref="D12:L13"/>
    <mergeCell ref="D18:L18"/>
    <mergeCell ref="A19:C21"/>
    <mergeCell ref="D19:L21"/>
    <mergeCell ref="D8:L9"/>
    <mergeCell ref="D15:L17"/>
  </mergeCells>
  <phoneticPr fontId="3" type="noConversion"/>
  <hyperlinks>
    <hyperlink ref="I27" r:id="rId1" xr:uid="{2D23A17C-57AB-4BB8-8CCB-081EF10EEF25}"/>
  </hyperlinks>
  <pageMargins left="0.75" right="0.75" top="1" bottom="1" header="0" footer="0"/>
  <pageSetup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73"/>
  <sheetViews>
    <sheetView tabSelected="1" topLeftCell="A553" zoomScale="110" zoomScaleNormal="110" workbookViewId="0">
      <selection activeCell="A574" sqref="A574"/>
    </sheetView>
  </sheetViews>
  <sheetFormatPr baseColWidth="10" defaultRowHeight="12.75" x14ac:dyDescent="0.2"/>
  <cols>
    <col min="1" max="1" width="12" style="35" customWidth="1"/>
    <col min="2" max="2" width="14.5703125" style="81" customWidth="1"/>
    <col min="3" max="3" width="112.140625" style="72" customWidth="1"/>
    <col min="4" max="4" width="17.28515625" style="1" bestFit="1" customWidth="1"/>
  </cols>
  <sheetData>
    <row r="1" spans="1:5" ht="13.5" thickBot="1" x14ac:dyDescent="0.25">
      <c r="A1" s="96" t="s">
        <v>0</v>
      </c>
      <c r="B1" s="94" t="s">
        <v>2</v>
      </c>
      <c r="C1" s="70" t="s">
        <v>1</v>
      </c>
      <c r="D1" s="7" t="s">
        <v>3</v>
      </c>
    </row>
    <row r="2" spans="1:5" ht="51" x14ac:dyDescent="0.2">
      <c r="A2" s="35">
        <v>45348</v>
      </c>
      <c r="B2" s="69">
        <v>0.75138888888888899</v>
      </c>
      <c r="C2" s="71" t="s">
        <v>74</v>
      </c>
      <c r="D2" s="35"/>
      <c r="E2" s="35"/>
    </row>
    <row r="3" spans="1:5" x14ac:dyDescent="0.2">
      <c r="A3" s="35">
        <v>44983</v>
      </c>
      <c r="B3" s="69">
        <v>0.75902777777777775</v>
      </c>
      <c r="C3" s="71" t="s">
        <v>73</v>
      </c>
      <c r="D3" s="2"/>
    </row>
    <row r="4" spans="1:5" x14ac:dyDescent="0.2">
      <c r="A4" s="35">
        <v>45349</v>
      </c>
      <c r="B4" s="69">
        <v>0.46388888888888885</v>
      </c>
      <c r="C4" s="71" t="s">
        <v>75</v>
      </c>
      <c r="D4" s="2"/>
    </row>
    <row r="5" spans="1:5" ht="76.5" x14ac:dyDescent="0.2">
      <c r="A5" s="35">
        <v>45350</v>
      </c>
      <c r="B5" s="69">
        <v>0.46111111111111108</v>
      </c>
      <c r="C5" s="71" t="s">
        <v>76</v>
      </c>
      <c r="D5" s="2"/>
    </row>
    <row r="6" spans="1:5" x14ac:dyDescent="0.2">
      <c r="A6" s="35">
        <v>45351</v>
      </c>
      <c r="B6" s="73">
        <v>0.48402777777777778</v>
      </c>
      <c r="C6" s="72" t="s">
        <v>77</v>
      </c>
      <c r="D6" s="2"/>
    </row>
    <row r="7" spans="1:5" ht="127.5" customHeight="1" x14ac:dyDescent="0.2">
      <c r="A7" s="235">
        <v>45352</v>
      </c>
      <c r="B7" s="35">
        <v>11.32</v>
      </c>
      <c r="C7" s="72" t="s">
        <v>78</v>
      </c>
    </row>
    <row r="8" spans="1:5" ht="89.25" x14ac:dyDescent="0.2">
      <c r="A8" s="235"/>
      <c r="B8" s="73">
        <v>0.54791666666666672</v>
      </c>
      <c r="C8" s="71" t="s">
        <v>101</v>
      </c>
    </row>
    <row r="9" spans="1:5" ht="25.5" x14ac:dyDescent="0.2">
      <c r="A9" s="35">
        <v>45355</v>
      </c>
      <c r="B9" s="73">
        <v>0.4152777777777778</v>
      </c>
      <c r="C9" s="72" t="s">
        <v>99</v>
      </c>
    </row>
    <row r="10" spans="1:5" x14ac:dyDescent="0.2">
      <c r="A10" s="35">
        <v>45356</v>
      </c>
      <c r="B10" s="73">
        <v>0.42986111111111108</v>
      </c>
      <c r="C10" s="72" t="s">
        <v>100</v>
      </c>
    </row>
    <row r="11" spans="1:5" x14ac:dyDescent="0.2">
      <c r="A11" s="35">
        <v>45357</v>
      </c>
      <c r="B11" s="73">
        <v>0.4458333333333333</v>
      </c>
      <c r="C11" s="72" t="s">
        <v>100</v>
      </c>
    </row>
    <row r="12" spans="1:5" x14ac:dyDescent="0.2">
      <c r="A12" s="35">
        <v>45358</v>
      </c>
      <c r="B12" s="35">
        <v>11.36</v>
      </c>
      <c r="C12" s="72" t="s">
        <v>100</v>
      </c>
      <c r="D12" s="2"/>
    </row>
    <row r="13" spans="1:5" ht="25.5" x14ac:dyDescent="0.2">
      <c r="A13" s="35">
        <v>45359</v>
      </c>
      <c r="B13" s="73">
        <v>0.47986111111111113</v>
      </c>
      <c r="C13" s="72" t="s">
        <v>102</v>
      </c>
      <c r="D13" s="2"/>
    </row>
    <row r="14" spans="1:5" ht="38.25" x14ac:dyDescent="0.2">
      <c r="A14" s="35">
        <v>45362</v>
      </c>
      <c r="B14" s="73">
        <v>0.45</v>
      </c>
      <c r="C14" s="93" t="s">
        <v>103</v>
      </c>
      <c r="D14" s="2"/>
    </row>
    <row r="15" spans="1:5" ht="38.25" x14ac:dyDescent="0.2">
      <c r="A15" s="35">
        <v>45363</v>
      </c>
      <c r="B15" s="73">
        <v>0.47361111111111109</v>
      </c>
      <c r="C15" s="93" t="s">
        <v>103</v>
      </c>
      <c r="D15" s="2"/>
    </row>
    <row r="16" spans="1:5" ht="38.25" x14ac:dyDescent="0.2">
      <c r="A16" s="35">
        <v>45364</v>
      </c>
      <c r="B16" s="73">
        <v>0.4375</v>
      </c>
      <c r="C16" s="72" t="s">
        <v>104</v>
      </c>
      <c r="D16" s="2"/>
    </row>
    <row r="17" spans="1:4" x14ac:dyDescent="0.2">
      <c r="A17" s="35">
        <v>45365</v>
      </c>
      <c r="B17" s="73">
        <v>0.4909722222222222</v>
      </c>
      <c r="C17" s="72" t="s">
        <v>100</v>
      </c>
      <c r="D17" s="2"/>
    </row>
    <row r="18" spans="1:4" ht="38.25" x14ac:dyDescent="0.2">
      <c r="A18" s="35">
        <v>45366</v>
      </c>
      <c r="B18" s="73">
        <v>0.4465277777777778</v>
      </c>
      <c r="C18" s="72" t="s">
        <v>105</v>
      </c>
    </row>
    <row r="19" spans="1:4" x14ac:dyDescent="0.2">
      <c r="A19" s="35">
        <v>45370</v>
      </c>
      <c r="B19" s="73">
        <v>0.34791666666666665</v>
      </c>
      <c r="C19" s="72" t="s">
        <v>106</v>
      </c>
      <c r="D19" s="2"/>
    </row>
    <row r="20" spans="1:4" x14ac:dyDescent="0.2">
      <c r="A20" s="35">
        <v>45371</v>
      </c>
      <c r="B20" s="73">
        <v>0.48749999999999999</v>
      </c>
      <c r="C20" s="72" t="s">
        <v>107</v>
      </c>
    </row>
    <row r="21" spans="1:4" x14ac:dyDescent="0.2">
      <c r="A21" s="35">
        <v>45372</v>
      </c>
      <c r="B21" s="73">
        <v>0.46250000000000002</v>
      </c>
      <c r="C21" s="72" t="s">
        <v>108</v>
      </c>
    </row>
    <row r="22" spans="1:4" x14ac:dyDescent="0.2">
      <c r="A22" s="35">
        <v>45373</v>
      </c>
      <c r="B22" s="73">
        <v>0.47013888888888888</v>
      </c>
      <c r="C22" s="72" t="s">
        <v>109</v>
      </c>
      <c r="D22" s="2"/>
    </row>
    <row r="23" spans="1:4" x14ac:dyDescent="0.2">
      <c r="A23" s="235">
        <v>45376</v>
      </c>
      <c r="B23" s="236">
        <v>0.46597222222222223</v>
      </c>
      <c r="C23" s="72" t="s">
        <v>110</v>
      </c>
    </row>
    <row r="24" spans="1:4" x14ac:dyDescent="0.2">
      <c r="A24" s="235"/>
      <c r="B24" s="236"/>
      <c r="C24" s="72" t="s">
        <v>111</v>
      </c>
      <c r="D24" s="2"/>
    </row>
    <row r="25" spans="1:4" x14ac:dyDescent="0.2">
      <c r="A25" s="235"/>
      <c r="B25" s="236"/>
      <c r="C25" s="72" t="s">
        <v>112</v>
      </c>
    </row>
    <row r="26" spans="1:4" x14ac:dyDescent="0.2">
      <c r="A26" s="235"/>
      <c r="B26" s="236"/>
      <c r="C26" s="72" t="s">
        <v>113</v>
      </c>
    </row>
    <row r="27" spans="1:4" ht="25.5" x14ac:dyDescent="0.2">
      <c r="A27" s="235"/>
      <c r="B27" s="236"/>
      <c r="C27" s="72" t="s">
        <v>114</v>
      </c>
    </row>
    <row r="28" spans="1:4" x14ac:dyDescent="0.2">
      <c r="A28" s="235"/>
      <c r="B28" s="236"/>
      <c r="C28" s="72" t="s">
        <v>115</v>
      </c>
    </row>
    <row r="29" spans="1:4" x14ac:dyDescent="0.2">
      <c r="A29" s="35">
        <v>45377</v>
      </c>
      <c r="B29" s="73">
        <v>0.47847222222222224</v>
      </c>
      <c r="C29" s="72" t="s">
        <v>116</v>
      </c>
      <c r="D29" s="2"/>
    </row>
    <row r="30" spans="1:4" x14ac:dyDescent="0.2">
      <c r="A30" s="35">
        <v>45378</v>
      </c>
      <c r="B30" s="73">
        <v>0.47013888888888888</v>
      </c>
      <c r="C30" s="72" t="s">
        <v>117</v>
      </c>
      <c r="D30" s="2"/>
    </row>
    <row r="31" spans="1:4" ht="102" x14ac:dyDescent="0.2">
      <c r="A31" s="35">
        <v>45383</v>
      </c>
      <c r="B31" s="73">
        <v>0.43125000000000002</v>
      </c>
      <c r="C31" s="93" t="s">
        <v>118</v>
      </c>
    </row>
    <row r="32" spans="1:4" ht="102" x14ac:dyDescent="0.2">
      <c r="A32" s="35">
        <v>45384</v>
      </c>
      <c r="B32" s="73">
        <v>0.51527777777777772</v>
      </c>
      <c r="C32" s="72" t="s">
        <v>118</v>
      </c>
    </row>
    <row r="33" spans="1:3" ht="102" x14ac:dyDescent="0.2">
      <c r="A33" s="35">
        <v>45385</v>
      </c>
      <c r="B33" s="73">
        <v>0.47222222222222221</v>
      </c>
      <c r="C33" s="72" t="s">
        <v>118</v>
      </c>
    </row>
    <row r="34" spans="1:3" ht="102" x14ac:dyDescent="0.2">
      <c r="A34" s="35">
        <v>45386</v>
      </c>
      <c r="B34" s="73">
        <v>0.64652777777777781</v>
      </c>
      <c r="C34" s="72" t="s">
        <v>118</v>
      </c>
    </row>
    <row r="35" spans="1:3" ht="102" x14ac:dyDescent="0.2">
      <c r="A35" s="35">
        <v>45387</v>
      </c>
      <c r="B35" s="81">
        <v>13</v>
      </c>
      <c r="C35" s="72" t="s">
        <v>118</v>
      </c>
    </row>
    <row r="36" spans="1:3" ht="25.5" x14ac:dyDescent="0.2">
      <c r="A36" s="35">
        <v>45390</v>
      </c>
      <c r="B36" s="73">
        <v>0.43958333333333333</v>
      </c>
      <c r="C36" s="72" t="s">
        <v>119</v>
      </c>
    </row>
    <row r="37" spans="1:3" x14ac:dyDescent="0.2">
      <c r="A37" s="35">
        <v>45391</v>
      </c>
      <c r="B37" s="73">
        <v>0.42430555555555555</v>
      </c>
      <c r="C37" s="72" t="s">
        <v>106</v>
      </c>
    </row>
    <row r="38" spans="1:3" x14ac:dyDescent="0.2">
      <c r="A38" s="35">
        <v>45392</v>
      </c>
      <c r="B38" s="73">
        <v>0.48125000000000001</v>
      </c>
      <c r="C38" s="72" t="s">
        <v>120</v>
      </c>
    </row>
    <row r="39" spans="1:3" x14ac:dyDescent="0.2">
      <c r="A39" s="35">
        <v>45393</v>
      </c>
      <c r="B39" s="73">
        <v>0.46944444444444444</v>
      </c>
      <c r="C39" s="72" t="s">
        <v>120</v>
      </c>
    </row>
    <row r="40" spans="1:3" x14ac:dyDescent="0.2">
      <c r="A40" s="35">
        <v>45394</v>
      </c>
      <c r="B40" s="73">
        <v>0.61527777777777781</v>
      </c>
      <c r="C40" s="72" t="s">
        <v>120</v>
      </c>
    </row>
    <row r="41" spans="1:3" x14ac:dyDescent="0.2">
      <c r="A41" s="35">
        <v>45397</v>
      </c>
      <c r="B41" s="73">
        <v>0.48194444444444445</v>
      </c>
      <c r="C41" s="72" t="s">
        <v>121</v>
      </c>
    </row>
    <row r="42" spans="1:3" x14ac:dyDescent="0.2">
      <c r="A42" s="35">
        <v>45398</v>
      </c>
      <c r="B42" s="73">
        <v>0.4465277777777778</v>
      </c>
      <c r="C42" s="72" t="s">
        <v>122</v>
      </c>
    </row>
    <row r="43" spans="1:3" ht="25.5" x14ac:dyDescent="0.2">
      <c r="A43" s="35">
        <v>45399</v>
      </c>
      <c r="B43" s="73">
        <v>0.43611111111111112</v>
      </c>
      <c r="C43" s="71" t="s">
        <v>123</v>
      </c>
    </row>
    <row r="44" spans="1:3" x14ac:dyDescent="0.2">
      <c r="A44" s="35">
        <v>45401</v>
      </c>
      <c r="B44" s="73">
        <v>0.40625</v>
      </c>
      <c r="C44" s="72" t="s">
        <v>124</v>
      </c>
    </row>
    <row r="45" spans="1:3" x14ac:dyDescent="0.2">
      <c r="A45" s="35">
        <v>45404</v>
      </c>
      <c r="B45" s="73">
        <v>0.45694444444444443</v>
      </c>
      <c r="C45" s="72" t="s">
        <v>125</v>
      </c>
    </row>
    <row r="46" spans="1:3" x14ac:dyDescent="0.2">
      <c r="A46" s="35">
        <v>45406</v>
      </c>
      <c r="B46" s="73">
        <v>0.49444444444444446</v>
      </c>
      <c r="C46" s="72" t="s">
        <v>126</v>
      </c>
    </row>
    <row r="47" spans="1:3" x14ac:dyDescent="0.2">
      <c r="A47" s="35">
        <v>45407</v>
      </c>
      <c r="B47" s="95">
        <v>0.4152777777777778</v>
      </c>
      <c r="C47" s="72" t="s">
        <v>127</v>
      </c>
    </row>
    <row r="48" spans="1:3" x14ac:dyDescent="0.2">
      <c r="A48" s="35">
        <v>45408</v>
      </c>
      <c r="B48" s="73">
        <v>0.46597222222222223</v>
      </c>
      <c r="C48" s="72" t="s">
        <v>128</v>
      </c>
    </row>
    <row r="49" spans="1:3" ht="25.5" x14ac:dyDescent="0.2">
      <c r="A49" s="35">
        <v>45411</v>
      </c>
      <c r="B49" s="73">
        <v>0.47708333333333336</v>
      </c>
      <c r="C49" s="72" t="s">
        <v>129</v>
      </c>
    </row>
    <row r="50" spans="1:3" x14ac:dyDescent="0.2">
      <c r="A50" s="35">
        <v>45412</v>
      </c>
      <c r="B50" s="73">
        <v>0.46041666666666664</v>
      </c>
      <c r="C50" s="72" t="s">
        <v>130</v>
      </c>
    </row>
    <row r="51" spans="1:3" x14ac:dyDescent="0.2">
      <c r="A51" s="35">
        <v>45414</v>
      </c>
      <c r="B51" s="73">
        <v>0.46250000000000002</v>
      </c>
      <c r="C51" s="71" t="s">
        <v>131</v>
      </c>
    </row>
    <row r="52" spans="1:3" x14ac:dyDescent="0.2">
      <c r="A52" s="35">
        <v>45415</v>
      </c>
      <c r="B52" s="73">
        <v>0.50694444444444442</v>
      </c>
      <c r="C52" s="72" t="s">
        <v>132</v>
      </c>
    </row>
    <row r="53" spans="1:3" x14ac:dyDescent="0.2">
      <c r="A53" s="35">
        <v>45418</v>
      </c>
      <c r="B53" s="73">
        <v>0.54027777777777775</v>
      </c>
      <c r="C53" s="72" t="s">
        <v>133</v>
      </c>
    </row>
    <row r="54" spans="1:3" x14ac:dyDescent="0.2">
      <c r="A54" s="35">
        <v>45418</v>
      </c>
      <c r="B54" s="73">
        <v>0.55138888888888893</v>
      </c>
      <c r="C54" s="72" t="s">
        <v>134</v>
      </c>
    </row>
    <row r="55" spans="1:3" x14ac:dyDescent="0.2">
      <c r="A55" s="35">
        <v>45419</v>
      </c>
      <c r="B55" s="73">
        <v>0.4548611111111111</v>
      </c>
      <c r="C55" s="72" t="s">
        <v>135</v>
      </c>
    </row>
    <row r="56" spans="1:3" x14ac:dyDescent="0.2">
      <c r="A56" s="35">
        <v>45420</v>
      </c>
      <c r="B56" s="73">
        <v>0.53819444444444442</v>
      </c>
      <c r="C56" s="72" t="s">
        <v>134</v>
      </c>
    </row>
    <row r="57" spans="1:3" ht="25.5" x14ac:dyDescent="0.2">
      <c r="A57" s="35">
        <v>45421</v>
      </c>
      <c r="B57" s="73">
        <v>0.57986111111111105</v>
      </c>
      <c r="C57" s="72" t="s">
        <v>136</v>
      </c>
    </row>
    <row r="58" spans="1:3" x14ac:dyDescent="0.2">
      <c r="A58" s="35">
        <v>45422</v>
      </c>
      <c r="B58" s="73">
        <v>0.53680555555555554</v>
      </c>
      <c r="C58" s="72" t="s">
        <v>137</v>
      </c>
    </row>
    <row r="59" spans="1:3" ht="63.75" x14ac:dyDescent="0.2">
      <c r="A59" s="35">
        <v>45425</v>
      </c>
      <c r="B59" s="73">
        <v>0.4284722222222222</v>
      </c>
      <c r="C59" s="72" t="s">
        <v>138</v>
      </c>
    </row>
    <row r="60" spans="1:3" x14ac:dyDescent="0.2">
      <c r="A60" s="35">
        <v>45426</v>
      </c>
      <c r="B60" s="73">
        <v>0.53472222222222221</v>
      </c>
      <c r="C60" s="72" t="s">
        <v>139</v>
      </c>
    </row>
    <row r="61" spans="1:3" x14ac:dyDescent="0.2">
      <c r="A61" s="35">
        <v>45427</v>
      </c>
      <c r="B61" s="73">
        <v>0.53749999999999998</v>
      </c>
      <c r="C61" s="72" t="s">
        <v>140</v>
      </c>
    </row>
    <row r="62" spans="1:3" x14ac:dyDescent="0.2">
      <c r="A62" s="35">
        <v>45428</v>
      </c>
      <c r="B62" s="73">
        <v>0.57916666666666705</v>
      </c>
      <c r="C62" s="72" t="s">
        <v>141</v>
      </c>
    </row>
    <row r="63" spans="1:3" x14ac:dyDescent="0.2">
      <c r="A63" s="35">
        <v>45429</v>
      </c>
      <c r="B63" s="73">
        <v>0.50277777777777777</v>
      </c>
      <c r="C63" s="72" t="s">
        <v>142</v>
      </c>
    </row>
    <row r="64" spans="1:3" x14ac:dyDescent="0.2">
      <c r="A64" s="35">
        <v>45432</v>
      </c>
      <c r="B64" s="73">
        <v>0.72152777777777777</v>
      </c>
      <c r="C64" s="71" t="s">
        <v>143</v>
      </c>
    </row>
    <row r="65" spans="1:3" ht="25.5" x14ac:dyDescent="0.2">
      <c r="B65" s="73">
        <v>0.72916666666666663</v>
      </c>
      <c r="C65" s="72" t="s">
        <v>144</v>
      </c>
    </row>
    <row r="66" spans="1:3" x14ac:dyDescent="0.2">
      <c r="A66" s="35">
        <v>45433</v>
      </c>
      <c r="B66" s="73">
        <v>0.46666666666666667</v>
      </c>
      <c r="C66" s="72" t="s">
        <v>145</v>
      </c>
    </row>
    <row r="67" spans="1:3" x14ac:dyDescent="0.2">
      <c r="A67" s="35">
        <v>45434</v>
      </c>
      <c r="B67" s="73">
        <v>0.50833333333333297</v>
      </c>
      <c r="C67" s="72" t="s">
        <v>145</v>
      </c>
    </row>
    <row r="68" spans="1:3" ht="25.5" x14ac:dyDescent="0.2">
      <c r="A68" s="35">
        <v>45435</v>
      </c>
      <c r="B68" s="73">
        <v>0.50902777777777775</v>
      </c>
      <c r="C68" s="72" t="s">
        <v>146</v>
      </c>
    </row>
    <row r="69" spans="1:3" x14ac:dyDescent="0.2">
      <c r="A69" s="35">
        <v>45436</v>
      </c>
      <c r="B69" s="73">
        <v>0.50416666666666665</v>
      </c>
      <c r="C69" s="72" t="s">
        <v>147</v>
      </c>
    </row>
    <row r="70" spans="1:3" ht="63.75" x14ac:dyDescent="0.2">
      <c r="A70" s="35">
        <v>45439</v>
      </c>
      <c r="B70" s="73">
        <v>0.40763888888888888</v>
      </c>
      <c r="C70" s="72" t="s">
        <v>148</v>
      </c>
    </row>
    <row r="71" spans="1:3" x14ac:dyDescent="0.2">
      <c r="A71" s="35">
        <v>45440</v>
      </c>
      <c r="B71" s="73">
        <v>0.34097222222222223</v>
      </c>
      <c r="C71" s="72" t="s">
        <v>149</v>
      </c>
    </row>
    <row r="72" spans="1:3" x14ac:dyDescent="0.2">
      <c r="A72" s="35">
        <v>45441</v>
      </c>
      <c r="B72" s="73">
        <v>0.46597222222222223</v>
      </c>
      <c r="C72" s="72" t="s">
        <v>150</v>
      </c>
    </row>
    <row r="73" spans="1:3" ht="25.5" x14ac:dyDescent="0.2">
      <c r="A73" s="35">
        <v>45442</v>
      </c>
      <c r="B73" s="73">
        <v>0.39583333333333331</v>
      </c>
      <c r="C73" s="72" t="s">
        <v>151</v>
      </c>
    </row>
    <row r="74" spans="1:3" x14ac:dyDescent="0.2">
      <c r="A74" s="35">
        <v>45443</v>
      </c>
      <c r="B74" s="73">
        <v>0.43125000000000002</v>
      </c>
      <c r="C74" s="72" t="s">
        <v>152</v>
      </c>
    </row>
    <row r="75" spans="1:3" ht="25.5" x14ac:dyDescent="0.2">
      <c r="A75" s="35">
        <v>45446</v>
      </c>
      <c r="B75" s="73">
        <v>0.40555555555555556</v>
      </c>
      <c r="C75" s="72" t="s">
        <v>153</v>
      </c>
    </row>
    <row r="76" spans="1:3" x14ac:dyDescent="0.2">
      <c r="A76" s="35">
        <v>45447</v>
      </c>
      <c r="B76" s="73">
        <v>0.34791666666666665</v>
      </c>
      <c r="C76" s="72" t="s">
        <v>154</v>
      </c>
    </row>
    <row r="77" spans="1:3" x14ac:dyDescent="0.2">
      <c r="A77" s="35">
        <v>45448</v>
      </c>
      <c r="B77" s="73">
        <v>0.4777777777777778</v>
      </c>
      <c r="C77" s="72" t="s">
        <v>155</v>
      </c>
    </row>
    <row r="78" spans="1:3" x14ac:dyDescent="0.2">
      <c r="A78" s="35">
        <v>45449</v>
      </c>
      <c r="B78" s="73">
        <v>0.39374999999999999</v>
      </c>
      <c r="C78" s="72" t="s">
        <v>155</v>
      </c>
    </row>
    <row r="79" spans="1:3" x14ac:dyDescent="0.2">
      <c r="A79" s="35">
        <v>45450</v>
      </c>
      <c r="B79" s="73">
        <v>0.51875000000000004</v>
      </c>
      <c r="C79" s="72" t="s">
        <v>156</v>
      </c>
    </row>
    <row r="80" spans="1:3" ht="25.5" x14ac:dyDescent="0.2">
      <c r="A80" s="35">
        <v>45453</v>
      </c>
      <c r="B80" s="73">
        <v>0.40625</v>
      </c>
      <c r="C80" s="72" t="s">
        <v>157</v>
      </c>
    </row>
    <row r="81" spans="1:3" x14ac:dyDescent="0.2">
      <c r="A81" s="35">
        <v>45454</v>
      </c>
      <c r="B81" s="73">
        <v>0.42083333333333334</v>
      </c>
      <c r="C81" s="72" t="s">
        <v>158</v>
      </c>
    </row>
    <row r="82" spans="1:3" ht="76.5" x14ac:dyDescent="0.2">
      <c r="A82" s="35">
        <v>45455</v>
      </c>
      <c r="B82" s="73">
        <v>0.37569444444444444</v>
      </c>
      <c r="C82" s="72" t="s">
        <v>159</v>
      </c>
    </row>
    <row r="83" spans="1:3" x14ac:dyDescent="0.2">
      <c r="A83" s="35">
        <v>45456</v>
      </c>
      <c r="B83" s="73">
        <v>0.34513888888888888</v>
      </c>
      <c r="C83" s="72" t="s">
        <v>154</v>
      </c>
    </row>
    <row r="84" spans="1:3" x14ac:dyDescent="0.2">
      <c r="A84" s="35">
        <v>45457</v>
      </c>
      <c r="B84" s="73">
        <v>0.36736111111111114</v>
      </c>
      <c r="C84" s="72" t="s">
        <v>160</v>
      </c>
    </row>
    <row r="85" spans="1:3" x14ac:dyDescent="0.2">
      <c r="A85" s="35">
        <v>45460</v>
      </c>
      <c r="B85" s="73">
        <v>0.49652777777777779</v>
      </c>
      <c r="C85" s="72" t="s">
        <v>160</v>
      </c>
    </row>
    <row r="86" spans="1:3" ht="25.5" x14ac:dyDescent="0.2">
      <c r="A86" s="35">
        <v>45461</v>
      </c>
      <c r="B86" s="73">
        <v>0.4597222222222222</v>
      </c>
      <c r="C86" s="72" t="s">
        <v>161</v>
      </c>
    </row>
    <row r="87" spans="1:3" x14ac:dyDescent="0.2">
      <c r="A87" s="35">
        <v>45462</v>
      </c>
      <c r="B87" s="73">
        <v>0.38055555555555554</v>
      </c>
      <c r="C87" s="72" t="s">
        <v>162</v>
      </c>
    </row>
    <row r="88" spans="1:3" x14ac:dyDescent="0.2">
      <c r="A88" s="35">
        <v>45463</v>
      </c>
      <c r="B88" s="73">
        <v>0.46319444444444446</v>
      </c>
      <c r="C88" s="72" t="s">
        <v>163</v>
      </c>
    </row>
    <row r="89" spans="1:3" x14ac:dyDescent="0.2">
      <c r="A89" s="35">
        <v>45464</v>
      </c>
      <c r="B89" s="73">
        <v>0.42708333333333331</v>
      </c>
      <c r="C89" s="72" t="s">
        <v>164</v>
      </c>
    </row>
    <row r="90" spans="1:3" x14ac:dyDescent="0.2">
      <c r="A90" s="35">
        <v>45467</v>
      </c>
      <c r="B90" s="73">
        <v>0.45833333333333331</v>
      </c>
      <c r="C90" s="72" t="s">
        <v>165</v>
      </c>
    </row>
    <row r="91" spans="1:3" x14ac:dyDescent="0.2">
      <c r="A91" s="35">
        <v>45468</v>
      </c>
      <c r="B91" s="73">
        <v>0.43055555555555558</v>
      </c>
      <c r="C91" s="72" t="s">
        <v>166</v>
      </c>
    </row>
    <row r="92" spans="1:3" ht="51" x14ac:dyDescent="0.2">
      <c r="A92" s="35">
        <v>45469</v>
      </c>
      <c r="B92" s="73">
        <v>0.37777777777777777</v>
      </c>
      <c r="C92" s="72" t="s">
        <v>167</v>
      </c>
    </row>
    <row r="93" spans="1:3" x14ac:dyDescent="0.2">
      <c r="A93" s="35">
        <v>45471</v>
      </c>
      <c r="B93" s="73">
        <v>0.62083333333333335</v>
      </c>
      <c r="C93" s="72" t="s">
        <v>168</v>
      </c>
    </row>
    <row r="94" spans="1:3" ht="51" x14ac:dyDescent="0.2">
      <c r="A94" s="35">
        <v>45474</v>
      </c>
      <c r="B94" s="73">
        <v>0.36527777777777776</v>
      </c>
      <c r="C94" s="93" t="s">
        <v>169</v>
      </c>
    </row>
    <row r="95" spans="1:3" ht="51" x14ac:dyDescent="0.2">
      <c r="A95" s="35">
        <v>45475</v>
      </c>
      <c r="B95" s="73">
        <v>0.4513888888888889</v>
      </c>
      <c r="C95" s="72" t="s">
        <v>169</v>
      </c>
    </row>
    <row r="96" spans="1:3" ht="25.5" x14ac:dyDescent="0.2">
      <c r="A96" s="35">
        <v>45476</v>
      </c>
      <c r="B96" s="73">
        <v>0.4201388888888889</v>
      </c>
      <c r="C96" s="72" t="s">
        <v>170</v>
      </c>
    </row>
    <row r="97" spans="1:3" ht="25.5" x14ac:dyDescent="0.2">
      <c r="A97" s="35">
        <v>45477</v>
      </c>
      <c r="B97" s="73">
        <v>0.37847222222222221</v>
      </c>
      <c r="C97" s="72" t="s">
        <v>171</v>
      </c>
    </row>
    <row r="98" spans="1:3" ht="25.5" x14ac:dyDescent="0.2">
      <c r="A98" s="35">
        <v>45478</v>
      </c>
      <c r="B98" s="73">
        <v>0.44097222222222221</v>
      </c>
      <c r="C98" s="72" t="s">
        <v>171</v>
      </c>
    </row>
    <row r="99" spans="1:3" ht="25.5" x14ac:dyDescent="0.2">
      <c r="A99" s="35">
        <v>45481</v>
      </c>
      <c r="B99" s="73">
        <v>0.3972222222222222</v>
      </c>
      <c r="C99" s="72" t="s">
        <v>171</v>
      </c>
    </row>
    <row r="100" spans="1:3" x14ac:dyDescent="0.2">
      <c r="A100" s="35">
        <v>45482</v>
      </c>
      <c r="B100" s="73">
        <v>0.4152777777777778</v>
      </c>
      <c r="C100" s="72" t="s">
        <v>172</v>
      </c>
    </row>
    <row r="101" spans="1:3" x14ac:dyDescent="0.2">
      <c r="A101" s="35">
        <v>45483</v>
      </c>
      <c r="B101" s="73">
        <v>0.55138888888888893</v>
      </c>
      <c r="C101" s="72" t="s">
        <v>152</v>
      </c>
    </row>
    <row r="102" spans="1:3" x14ac:dyDescent="0.2">
      <c r="A102" s="35">
        <v>45484</v>
      </c>
      <c r="B102" s="73">
        <v>0.43472222222222223</v>
      </c>
      <c r="C102" s="72" t="s">
        <v>152</v>
      </c>
    </row>
    <row r="103" spans="1:3" ht="76.5" x14ac:dyDescent="0.2">
      <c r="A103" s="35">
        <v>45485</v>
      </c>
      <c r="B103" s="73">
        <v>0.4513888888888889</v>
      </c>
      <c r="C103" s="72" t="s">
        <v>173</v>
      </c>
    </row>
    <row r="104" spans="1:3" ht="38.25" x14ac:dyDescent="0.2">
      <c r="A104" s="35">
        <v>45488</v>
      </c>
      <c r="B104" s="73">
        <v>0.42291666666666666</v>
      </c>
      <c r="C104" s="97" t="s">
        <v>174</v>
      </c>
    </row>
    <row r="105" spans="1:3" x14ac:dyDescent="0.2">
      <c r="A105" s="35">
        <v>45489</v>
      </c>
      <c r="B105" s="73">
        <v>0.46388888888888891</v>
      </c>
      <c r="C105" s="72" t="s">
        <v>175</v>
      </c>
    </row>
    <row r="106" spans="1:3" x14ac:dyDescent="0.2">
      <c r="A106" s="35">
        <v>45490</v>
      </c>
      <c r="B106" s="73">
        <v>0.38541666666666669</v>
      </c>
      <c r="C106" s="72" t="s">
        <v>175</v>
      </c>
    </row>
    <row r="107" spans="1:3" x14ac:dyDescent="0.2">
      <c r="A107" s="35">
        <v>45491</v>
      </c>
      <c r="B107" s="73">
        <v>0.44791666666666669</v>
      </c>
      <c r="C107" s="72" t="s">
        <v>175</v>
      </c>
    </row>
    <row r="108" spans="1:3" x14ac:dyDescent="0.2">
      <c r="A108" s="35">
        <v>45492</v>
      </c>
      <c r="B108" s="73">
        <v>0.40625</v>
      </c>
      <c r="C108" s="72" t="s">
        <v>175</v>
      </c>
    </row>
    <row r="109" spans="1:3" ht="25.5" x14ac:dyDescent="0.2">
      <c r="A109" s="35">
        <v>45495</v>
      </c>
      <c r="B109" s="73">
        <v>0.44305555555555554</v>
      </c>
      <c r="C109" s="72" t="s">
        <v>176</v>
      </c>
    </row>
    <row r="110" spans="1:3" x14ac:dyDescent="0.2">
      <c r="A110" s="35">
        <v>45496</v>
      </c>
      <c r="B110" s="73">
        <v>0.3888888888888889</v>
      </c>
      <c r="C110" s="72" t="s">
        <v>177</v>
      </c>
    </row>
    <row r="111" spans="1:3" ht="25.5" x14ac:dyDescent="0.2">
      <c r="A111" s="35">
        <v>45497</v>
      </c>
      <c r="B111" s="73">
        <v>0.4597222222222222</v>
      </c>
      <c r="C111" s="72" t="s">
        <v>178</v>
      </c>
    </row>
    <row r="112" spans="1:3" x14ac:dyDescent="0.2">
      <c r="A112" s="35">
        <v>45498</v>
      </c>
      <c r="B112" s="73">
        <v>0.42986111111111114</v>
      </c>
      <c r="C112" s="72" t="s">
        <v>179</v>
      </c>
    </row>
    <row r="113" spans="1:3" x14ac:dyDescent="0.2">
      <c r="A113" s="35">
        <v>45499</v>
      </c>
      <c r="B113" s="73">
        <v>0.38541666666666669</v>
      </c>
      <c r="C113" s="72" t="s">
        <v>180</v>
      </c>
    </row>
    <row r="114" spans="1:3" x14ac:dyDescent="0.2">
      <c r="A114" s="35">
        <v>45502</v>
      </c>
      <c r="B114" s="73">
        <v>0.3923611111111111</v>
      </c>
      <c r="C114" s="72" t="s">
        <v>181</v>
      </c>
    </row>
    <row r="115" spans="1:3" x14ac:dyDescent="0.2">
      <c r="A115" s="35">
        <v>45503</v>
      </c>
      <c r="B115" s="73">
        <v>0.42777777777777776</v>
      </c>
      <c r="C115" s="72" t="s">
        <v>182</v>
      </c>
    </row>
    <row r="116" spans="1:3" x14ac:dyDescent="0.2">
      <c r="A116" s="35">
        <v>45504</v>
      </c>
      <c r="B116" s="73">
        <v>0.40208333333333335</v>
      </c>
      <c r="C116" s="72" t="s">
        <v>182</v>
      </c>
    </row>
    <row r="117" spans="1:3" x14ac:dyDescent="0.2">
      <c r="A117" s="35">
        <v>45505</v>
      </c>
      <c r="B117" s="73">
        <v>0.42152777777777778</v>
      </c>
      <c r="C117" s="72" t="s">
        <v>182</v>
      </c>
    </row>
    <row r="118" spans="1:3" ht="25.5" x14ac:dyDescent="0.2">
      <c r="A118" s="35">
        <v>45506</v>
      </c>
      <c r="B118" s="73">
        <v>0.4375</v>
      </c>
      <c r="C118" s="72" t="s">
        <v>183</v>
      </c>
    </row>
    <row r="119" spans="1:3" x14ac:dyDescent="0.2">
      <c r="A119" s="35">
        <v>45509</v>
      </c>
      <c r="B119" s="73">
        <v>0.39930555555555558</v>
      </c>
      <c r="C119" s="72" t="s">
        <v>184</v>
      </c>
    </row>
    <row r="120" spans="1:3" x14ac:dyDescent="0.2">
      <c r="A120" s="35">
        <v>45510</v>
      </c>
      <c r="B120" s="73">
        <v>0.45902777777777776</v>
      </c>
      <c r="C120" s="72" t="s">
        <v>152</v>
      </c>
    </row>
    <row r="121" spans="1:3" x14ac:dyDescent="0.2">
      <c r="A121" s="35">
        <v>45511</v>
      </c>
      <c r="B121" s="73">
        <v>0.44583333333333336</v>
      </c>
      <c r="C121" s="71" t="s">
        <v>185</v>
      </c>
    </row>
    <row r="122" spans="1:3" ht="25.5" x14ac:dyDescent="0.2">
      <c r="A122" s="35">
        <v>45512</v>
      </c>
      <c r="B122" s="73">
        <v>0.4284722222222222</v>
      </c>
      <c r="C122" s="72" t="s">
        <v>186</v>
      </c>
    </row>
    <row r="123" spans="1:3" ht="25.5" x14ac:dyDescent="0.2">
      <c r="A123" s="35">
        <v>45513</v>
      </c>
      <c r="B123" s="73">
        <v>0.43819444444444444</v>
      </c>
      <c r="C123" s="72" t="s">
        <v>187</v>
      </c>
    </row>
    <row r="124" spans="1:3" ht="25.5" x14ac:dyDescent="0.2">
      <c r="A124" s="35">
        <v>45516</v>
      </c>
      <c r="B124" s="73">
        <v>0.36180555555555555</v>
      </c>
      <c r="C124" s="72" t="s">
        <v>187</v>
      </c>
    </row>
    <row r="125" spans="1:3" ht="25.5" x14ac:dyDescent="0.2">
      <c r="A125" s="35">
        <v>45518</v>
      </c>
      <c r="B125" s="73">
        <v>0.40416666666666667</v>
      </c>
      <c r="C125" s="72" t="s">
        <v>187</v>
      </c>
    </row>
    <row r="126" spans="1:3" ht="25.5" x14ac:dyDescent="0.2">
      <c r="A126" s="35">
        <v>45519</v>
      </c>
      <c r="B126" s="73">
        <v>0.41458333333333336</v>
      </c>
      <c r="C126" s="72" t="s">
        <v>187</v>
      </c>
    </row>
    <row r="127" spans="1:3" x14ac:dyDescent="0.2">
      <c r="A127" s="35">
        <v>45520</v>
      </c>
      <c r="B127" s="73">
        <v>0.40138888888888891</v>
      </c>
      <c r="C127" s="72" t="s">
        <v>188</v>
      </c>
    </row>
    <row r="128" spans="1:3" x14ac:dyDescent="0.2">
      <c r="A128" s="35">
        <v>45523</v>
      </c>
      <c r="B128" s="73">
        <v>0.39583333333333331</v>
      </c>
      <c r="C128" s="72" t="s">
        <v>189</v>
      </c>
    </row>
    <row r="129" spans="1:3" x14ac:dyDescent="0.2">
      <c r="A129" s="35">
        <v>45524</v>
      </c>
      <c r="B129" s="73">
        <v>0.43888888888888888</v>
      </c>
      <c r="C129" s="72" t="s">
        <v>190</v>
      </c>
    </row>
    <row r="130" spans="1:3" x14ac:dyDescent="0.2">
      <c r="A130" s="35">
        <v>45525</v>
      </c>
      <c r="B130" s="73">
        <v>0.43541666666666667</v>
      </c>
      <c r="C130" s="72" t="s">
        <v>191</v>
      </c>
    </row>
    <row r="131" spans="1:3" x14ac:dyDescent="0.2">
      <c r="A131" s="35">
        <v>45526</v>
      </c>
      <c r="B131" s="73">
        <v>0.42638888888888887</v>
      </c>
      <c r="C131" s="72" t="s">
        <v>192</v>
      </c>
    </row>
    <row r="132" spans="1:3" x14ac:dyDescent="0.2">
      <c r="A132" s="35">
        <v>45527</v>
      </c>
      <c r="B132" s="73">
        <v>0.39374999999999999</v>
      </c>
      <c r="C132" s="72" t="s">
        <v>193</v>
      </c>
    </row>
    <row r="133" spans="1:3" ht="25.5" x14ac:dyDescent="0.2">
      <c r="A133" s="35">
        <v>45530</v>
      </c>
      <c r="B133" s="73">
        <v>0.37916666666666665</v>
      </c>
      <c r="C133" s="72" t="s">
        <v>194</v>
      </c>
    </row>
    <row r="134" spans="1:3" ht="25.5" x14ac:dyDescent="0.2">
      <c r="A134" s="35">
        <v>45531</v>
      </c>
      <c r="B134" s="73">
        <v>0.55763888888888891</v>
      </c>
      <c r="C134" s="72" t="s">
        <v>195</v>
      </c>
    </row>
    <row r="135" spans="1:3" ht="51" x14ac:dyDescent="0.2">
      <c r="A135" s="35">
        <v>45532</v>
      </c>
      <c r="B135" s="73">
        <v>0.40416666666666667</v>
      </c>
      <c r="C135" s="93" t="s">
        <v>196</v>
      </c>
    </row>
    <row r="136" spans="1:3" ht="51" x14ac:dyDescent="0.2">
      <c r="A136" s="35">
        <v>45533</v>
      </c>
      <c r="B136" s="73">
        <v>0.41944444444444445</v>
      </c>
      <c r="C136" s="93" t="s">
        <v>196</v>
      </c>
    </row>
    <row r="137" spans="1:3" x14ac:dyDescent="0.2">
      <c r="A137" s="35">
        <v>45534</v>
      </c>
      <c r="B137" s="73">
        <v>0.4909722222222222</v>
      </c>
      <c r="C137" s="72" t="s">
        <v>197</v>
      </c>
    </row>
    <row r="138" spans="1:3" ht="25.5" x14ac:dyDescent="0.2">
      <c r="A138" s="35">
        <v>45537</v>
      </c>
      <c r="B138" s="73">
        <v>0.39097222222222222</v>
      </c>
      <c r="C138" s="72" t="s">
        <v>198</v>
      </c>
    </row>
    <row r="139" spans="1:3" x14ac:dyDescent="0.2">
      <c r="A139" s="35">
        <v>45538</v>
      </c>
      <c r="B139" s="73">
        <v>0.40138888888888891</v>
      </c>
      <c r="C139" s="72" t="s">
        <v>199</v>
      </c>
    </row>
    <row r="140" spans="1:3" x14ac:dyDescent="0.2">
      <c r="A140" s="35">
        <v>45539</v>
      </c>
      <c r="B140" s="73">
        <v>0.47569444444444442</v>
      </c>
      <c r="C140" s="72" t="s">
        <v>200</v>
      </c>
    </row>
    <row r="141" spans="1:3" x14ac:dyDescent="0.2">
      <c r="A141" s="35">
        <v>45540</v>
      </c>
      <c r="B141" s="73">
        <v>0.40833333333333333</v>
      </c>
      <c r="C141" s="72" t="s">
        <v>150</v>
      </c>
    </row>
    <row r="142" spans="1:3" x14ac:dyDescent="0.2">
      <c r="A142" s="35">
        <v>45541</v>
      </c>
      <c r="B142" s="73">
        <v>0.51666666666666672</v>
      </c>
      <c r="C142" s="72" t="s">
        <v>201</v>
      </c>
    </row>
    <row r="143" spans="1:3" ht="25.5" x14ac:dyDescent="0.2">
      <c r="A143" s="35">
        <v>45544</v>
      </c>
      <c r="B143" s="73">
        <v>0.4201388888888889</v>
      </c>
      <c r="C143" s="72" t="s">
        <v>202</v>
      </c>
    </row>
    <row r="144" spans="1:3" x14ac:dyDescent="0.2">
      <c r="B144" s="73">
        <v>0.4284722222222222</v>
      </c>
      <c r="C144" s="72" t="s">
        <v>203</v>
      </c>
    </row>
    <row r="145" spans="1:3" x14ac:dyDescent="0.2">
      <c r="A145" s="35">
        <v>45545</v>
      </c>
      <c r="B145" s="73">
        <v>0.38958333333333334</v>
      </c>
      <c r="C145" s="72" t="s">
        <v>203</v>
      </c>
    </row>
    <row r="146" spans="1:3" ht="25.5" x14ac:dyDescent="0.2">
      <c r="A146" s="35">
        <v>45546</v>
      </c>
      <c r="B146" s="73">
        <v>0.41597222222222224</v>
      </c>
      <c r="C146" s="72" t="s">
        <v>204</v>
      </c>
    </row>
    <row r="147" spans="1:3" x14ac:dyDescent="0.2">
      <c r="A147" s="35">
        <v>45547</v>
      </c>
      <c r="B147" s="73">
        <v>0.45416666666666666</v>
      </c>
      <c r="C147" s="72" t="s">
        <v>206</v>
      </c>
    </row>
    <row r="148" spans="1:3" x14ac:dyDescent="0.2">
      <c r="A148" s="35">
        <v>45548</v>
      </c>
      <c r="B148" s="73">
        <v>0.4</v>
      </c>
      <c r="C148" s="72" t="s">
        <v>205</v>
      </c>
    </row>
    <row r="149" spans="1:3" ht="51" x14ac:dyDescent="0.2">
      <c r="A149" s="35">
        <v>45552</v>
      </c>
      <c r="B149" s="73">
        <v>0.34930555555555554</v>
      </c>
      <c r="C149" s="72" t="s">
        <v>207</v>
      </c>
    </row>
    <row r="150" spans="1:3" x14ac:dyDescent="0.2">
      <c r="A150" s="35">
        <v>45553</v>
      </c>
      <c r="B150" s="73">
        <v>0.42152777777777778</v>
      </c>
      <c r="C150" s="72" t="s">
        <v>208</v>
      </c>
    </row>
    <row r="151" spans="1:3" x14ac:dyDescent="0.2">
      <c r="A151" s="35">
        <v>45554</v>
      </c>
      <c r="B151" s="73">
        <v>0.44027777777777777</v>
      </c>
      <c r="C151" s="72" t="s">
        <v>209</v>
      </c>
    </row>
    <row r="152" spans="1:3" x14ac:dyDescent="0.2">
      <c r="A152" s="35">
        <v>45555</v>
      </c>
      <c r="B152" s="73">
        <v>0.36736111111111114</v>
      </c>
      <c r="C152" s="72" t="s">
        <v>210</v>
      </c>
    </row>
    <row r="153" spans="1:3" ht="38.25" x14ac:dyDescent="0.2">
      <c r="A153" s="35">
        <v>45558</v>
      </c>
      <c r="B153" s="73">
        <v>0.36458333333333331</v>
      </c>
      <c r="C153" s="72" t="s">
        <v>211</v>
      </c>
    </row>
    <row r="154" spans="1:3" x14ac:dyDescent="0.2">
      <c r="A154" s="35">
        <v>45559</v>
      </c>
      <c r="B154" s="73">
        <v>0.40486111111111112</v>
      </c>
      <c r="C154" s="72" t="s">
        <v>152</v>
      </c>
    </row>
    <row r="155" spans="1:3" x14ac:dyDescent="0.2">
      <c r="A155" s="35">
        <v>45560</v>
      </c>
      <c r="B155" s="73">
        <v>0.37986111111111109</v>
      </c>
      <c r="C155" s="72" t="s">
        <v>212</v>
      </c>
    </row>
    <row r="156" spans="1:3" x14ac:dyDescent="0.2">
      <c r="A156" s="35">
        <v>45561</v>
      </c>
      <c r="B156" s="73">
        <v>0.42638888888888887</v>
      </c>
      <c r="C156" s="72" t="s">
        <v>213</v>
      </c>
    </row>
    <row r="157" spans="1:3" x14ac:dyDescent="0.2">
      <c r="A157" s="35">
        <v>45562</v>
      </c>
      <c r="B157" s="73">
        <v>0.40902777777777777</v>
      </c>
      <c r="C157" s="72" t="s">
        <v>214</v>
      </c>
    </row>
    <row r="158" spans="1:3" x14ac:dyDescent="0.2">
      <c r="A158" s="35">
        <v>45565</v>
      </c>
      <c r="B158" s="73">
        <v>0.34722222222222221</v>
      </c>
      <c r="C158" s="72" t="s">
        <v>154</v>
      </c>
    </row>
    <row r="159" spans="1:3" x14ac:dyDescent="0.2">
      <c r="A159" s="35">
        <v>45567</v>
      </c>
      <c r="B159" s="73">
        <v>0.71527777777777779</v>
      </c>
      <c r="C159" s="72" t="s">
        <v>215</v>
      </c>
    </row>
    <row r="160" spans="1:3" ht="25.5" x14ac:dyDescent="0.2">
      <c r="A160" s="35">
        <v>45568</v>
      </c>
      <c r="B160" s="73">
        <v>0.3840277777777778</v>
      </c>
      <c r="C160" s="72" t="s">
        <v>216</v>
      </c>
    </row>
    <row r="161" spans="1:3" x14ac:dyDescent="0.2">
      <c r="A161" s="35">
        <v>45572</v>
      </c>
      <c r="B161" s="73">
        <v>0.40208333333333335</v>
      </c>
      <c r="C161" s="72" t="s">
        <v>217</v>
      </c>
    </row>
    <row r="162" spans="1:3" ht="25.5" x14ac:dyDescent="0.2">
      <c r="A162" s="35">
        <v>45573</v>
      </c>
      <c r="B162" s="73">
        <v>0.51111111111111107</v>
      </c>
      <c r="C162" s="72" t="s">
        <v>218</v>
      </c>
    </row>
    <row r="163" spans="1:3" x14ac:dyDescent="0.2">
      <c r="A163" s="35">
        <v>45574</v>
      </c>
      <c r="B163" s="73">
        <v>0.39166666666666666</v>
      </c>
      <c r="C163" s="72" t="s">
        <v>152</v>
      </c>
    </row>
    <row r="164" spans="1:3" ht="25.5" x14ac:dyDescent="0.2">
      <c r="A164" s="35">
        <v>45575</v>
      </c>
      <c r="B164" s="73">
        <v>0.4465277777777778</v>
      </c>
      <c r="C164" s="72" t="s">
        <v>219</v>
      </c>
    </row>
    <row r="165" spans="1:3" x14ac:dyDescent="0.2">
      <c r="A165" s="35">
        <v>45576</v>
      </c>
      <c r="B165" s="73">
        <v>0.40208333333333335</v>
      </c>
      <c r="C165" s="72" t="s">
        <v>220</v>
      </c>
    </row>
    <row r="166" spans="1:3" x14ac:dyDescent="0.2">
      <c r="A166" s="35">
        <v>45579</v>
      </c>
      <c r="B166" s="73">
        <v>0.40069444444444446</v>
      </c>
      <c r="C166" s="72" t="s">
        <v>221</v>
      </c>
    </row>
    <row r="167" spans="1:3" ht="25.5" x14ac:dyDescent="0.2">
      <c r="A167" s="35">
        <v>45580</v>
      </c>
      <c r="B167" s="73">
        <v>0.38124999999999998</v>
      </c>
      <c r="C167" s="72" t="s">
        <v>222</v>
      </c>
    </row>
    <row r="168" spans="1:3" ht="63.75" x14ac:dyDescent="0.2">
      <c r="A168" s="35">
        <v>45581</v>
      </c>
      <c r="B168" s="73">
        <v>0.40208333333333335</v>
      </c>
      <c r="C168" s="93" t="s">
        <v>223</v>
      </c>
    </row>
    <row r="169" spans="1:3" ht="63.75" x14ac:dyDescent="0.2">
      <c r="A169" s="35">
        <v>45582</v>
      </c>
      <c r="B169" s="73">
        <v>0.40972222222222221</v>
      </c>
      <c r="C169" s="72" t="s">
        <v>223</v>
      </c>
    </row>
    <row r="170" spans="1:3" ht="63.75" x14ac:dyDescent="0.2">
      <c r="A170" s="35">
        <v>45583</v>
      </c>
      <c r="B170" s="73">
        <v>0.51180555555555551</v>
      </c>
      <c r="C170" s="72" t="s">
        <v>223</v>
      </c>
    </row>
    <row r="171" spans="1:3" ht="38.25" x14ac:dyDescent="0.2">
      <c r="A171" s="35">
        <v>45586</v>
      </c>
      <c r="B171" s="73">
        <v>0.41805555555555557</v>
      </c>
      <c r="C171" s="72" t="s">
        <v>224</v>
      </c>
    </row>
    <row r="172" spans="1:3" ht="38.25" x14ac:dyDescent="0.2">
      <c r="A172" s="35">
        <v>45587</v>
      </c>
      <c r="B172" s="73">
        <v>0.44583333333333336</v>
      </c>
      <c r="C172" s="72" t="s">
        <v>224</v>
      </c>
    </row>
    <row r="173" spans="1:3" x14ac:dyDescent="0.2">
      <c r="A173" s="35">
        <v>45588</v>
      </c>
      <c r="B173" s="73">
        <v>0.4548611111111111</v>
      </c>
      <c r="C173" s="72" t="s">
        <v>225</v>
      </c>
    </row>
    <row r="174" spans="1:3" x14ac:dyDescent="0.2">
      <c r="A174" s="35">
        <v>45589</v>
      </c>
      <c r="B174" s="73">
        <v>0.43263888888888891</v>
      </c>
      <c r="C174" s="72" t="s">
        <v>226</v>
      </c>
    </row>
    <row r="175" spans="1:3" x14ac:dyDescent="0.2">
      <c r="A175" s="35">
        <v>45590</v>
      </c>
      <c r="B175" s="73">
        <v>0.37083333333333335</v>
      </c>
      <c r="C175" s="72" t="s">
        <v>227</v>
      </c>
    </row>
    <row r="176" spans="1:3" x14ac:dyDescent="0.2">
      <c r="A176" s="35">
        <v>45593</v>
      </c>
      <c r="B176" s="73">
        <v>0.47152777777777777</v>
      </c>
      <c r="C176" s="72" t="s">
        <v>228</v>
      </c>
    </row>
    <row r="177" spans="1:3" x14ac:dyDescent="0.2">
      <c r="A177" s="35">
        <v>45594</v>
      </c>
      <c r="B177" s="73">
        <v>0.40972222222222221</v>
      </c>
      <c r="C177" s="72" t="s">
        <v>229</v>
      </c>
    </row>
    <row r="178" spans="1:3" x14ac:dyDescent="0.2">
      <c r="A178" s="35">
        <v>45595</v>
      </c>
      <c r="B178" s="73">
        <v>0.4284722222222222</v>
      </c>
      <c r="C178" s="72" t="s">
        <v>230</v>
      </c>
    </row>
    <row r="179" spans="1:3" ht="51" x14ac:dyDescent="0.2">
      <c r="A179" s="35">
        <v>45596</v>
      </c>
      <c r="B179" s="73">
        <v>0.42499999999999999</v>
      </c>
      <c r="C179" s="72" t="s">
        <v>231</v>
      </c>
    </row>
    <row r="180" spans="1:3" x14ac:dyDescent="0.2">
      <c r="A180" s="35">
        <v>45597</v>
      </c>
      <c r="B180" s="73">
        <v>0.39930555555555558</v>
      </c>
      <c r="C180" s="72" t="s">
        <v>232</v>
      </c>
    </row>
    <row r="181" spans="1:3" x14ac:dyDescent="0.2">
      <c r="A181" s="35">
        <v>45600</v>
      </c>
      <c r="B181" s="73">
        <v>0.46527777777777779</v>
      </c>
      <c r="C181" s="72" t="s">
        <v>233</v>
      </c>
    </row>
    <row r="182" spans="1:3" x14ac:dyDescent="0.2">
      <c r="A182" s="35">
        <v>45601</v>
      </c>
      <c r="B182" s="73">
        <v>0.39791666666666664</v>
      </c>
      <c r="C182" s="72" t="s">
        <v>234</v>
      </c>
    </row>
    <row r="183" spans="1:3" x14ac:dyDescent="0.2">
      <c r="A183" s="35">
        <v>45602</v>
      </c>
      <c r="B183" s="73">
        <v>0.44513888888888886</v>
      </c>
      <c r="C183" s="72" t="s">
        <v>235</v>
      </c>
    </row>
    <row r="184" spans="1:3" x14ac:dyDescent="0.2">
      <c r="A184" s="35">
        <v>45603</v>
      </c>
      <c r="B184" s="73">
        <v>0.3972222222222222</v>
      </c>
      <c r="C184" s="72" t="s">
        <v>235</v>
      </c>
    </row>
    <row r="185" spans="1:3" x14ac:dyDescent="0.2">
      <c r="A185" s="35">
        <v>45604</v>
      </c>
      <c r="B185" s="73">
        <v>0.4465277777777778</v>
      </c>
      <c r="C185" s="72" t="s">
        <v>236</v>
      </c>
    </row>
    <row r="186" spans="1:3" ht="25.5" x14ac:dyDescent="0.2">
      <c r="A186" s="35">
        <v>45607</v>
      </c>
      <c r="B186" s="73">
        <v>0.41319444444444442</v>
      </c>
      <c r="C186" s="72" t="s">
        <v>237</v>
      </c>
    </row>
    <row r="187" spans="1:3" x14ac:dyDescent="0.2">
      <c r="A187" s="35">
        <v>45608</v>
      </c>
      <c r="B187" s="73">
        <v>0.48888888888888887</v>
      </c>
      <c r="C187" s="72" t="s">
        <v>238</v>
      </c>
    </row>
    <row r="188" spans="1:3" ht="76.5" x14ac:dyDescent="0.2">
      <c r="A188" s="35">
        <v>45609</v>
      </c>
      <c r="B188" s="73">
        <v>0.36458333333333331</v>
      </c>
      <c r="C188" s="72" t="s">
        <v>239</v>
      </c>
    </row>
    <row r="189" spans="1:3" ht="76.5" x14ac:dyDescent="0.2">
      <c r="A189" s="35">
        <v>45610</v>
      </c>
      <c r="B189" s="73">
        <v>0.74097222222222225</v>
      </c>
      <c r="C189" s="72" t="s">
        <v>239</v>
      </c>
    </row>
    <row r="190" spans="1:3" ht="63.75" x14ac:dyDescent="0.2">
      <c r="A190" s="35">
        <v>45611</v>
      </c>
      <c r="B190" s="73">
        <v>0.44444444444444442</v>
      </c>
      <c r="C190" s="72" t="s">
        <v>240</v>
      </c>
    </row>
    <row r="191" spans="1:3" x14ac:dyDescent="0.2">
      <c r="A191" s="235">
        <v>45615</v>
      </c>
      <c r="B191" s="73">
        <v>0.39791666666666664</v>
      </c>
      <c r="C191" s="72" t="s">
        <v>241</v>
      </c>
    </row>
    <row r="192" spans="1:3" x14ac:dyDescent="0.2">
      <c r="A192" s="235"/>
      <c r="B192" s="73">
        <v>0.39861111111111114</v>
      </c>
      <c r="C192" s="72" t="s">
        <v>242</v>
      </c>
    </row>
    <row r="193" spans="1:3" x14ac:dyDescent="0.2">
      <c r="A193" s="35">
        <v>45616</v>
      </c>
      <c r="B193" s="73">
        <v>0.49444444444444446</v>
      </c>
      <c r="C193" s="72" t="s">
        <v>243</v>
      </c>
    </row>
    <row r="194" spans="1:3" x14ac:dyDescent="0.2">
      <c r="A194" s="35">
        <v>45617</v>
      </c>
      <c r="B194" s="73">
        <v>0.45833333333333331</v>
      </c>
      <c r="C194" s="72" t="s">
        <v>244</v>
      </c>
    </row>
    <row r="195" spans="1:3" x14ac:dyDescent="0.2">
      <c r="A195" s="35">
        <v>45618</v>
      </c>
      <c r="B195" s="73">
        <v>0.40486111111111112</v>
      </c>
      <c r="C195" s="72" t="s">
        <v>243</v>
      </c>
    </row>
    <row r="196" spans="1:3" x14ac:dyDescent="0.2">
      <c r="A196" s="35">
        <v>45621</v>
      </c>
      <c r="B196" s="73">
        <v>0.38333333333333336</v>
      </c>
      <c r="C196" s="72" t="s">
        <v>243</v>
      </c>
    </row>
    <row r="197" spans="1:3" x14ac:dyDescent="0.2">
      <c r="A197" s="35">
        <v>45622</v>
      </c>
      <c r="B197" s="73">
        <v>0.3923611111111111</v>
      </c>
      <c r="C197" s="72" t="s">
        <v>245</v>
      </c>
    </row>
    <row r="198" spans="1:3" x14ac:dyDescent="0.2">
      <c r="A198" s="35">
        <v>45623</v>
      </c>
      <c r="B198" s="73">
        <v>0.44166666666666665</v>
      </c>
      <c r="C198" s="72" t="s">
        <v>246</v>
      </c>
    </row>
    <row r="199" spans="1:3" x14ac:dyDescent="0.2">
      <c r="A199" s="35">
        <v>45624</v>
      </c>
      <c r="B199" s="73">
        <v>0.40277777777777779</v>
      </c>
      <c r="C199" s="72" t="s">
        <v>247</v>
      </c>
    </row>
    <row r="200" spans="1:3" x14ac:dyDescent="0.2">
      <c r="A200" s="35">
        <v>45625</v>
      </c>
      <c r="B200" s="73">
        <v>0.45347222222222222</v>
      </c>
      <c r="C200" s="72" t="s">
        <v>248</v>
      </c>
    </row>
    <row r="201" spans="1:3" x14ac:dyDescent="0.2">
      <c r="A201" s="35">
        <v>45628</v>
      </c>
      <c r="B201" s="73">
        <v>0.44166666666666665</v>
      </c>
      <c r="C201" s="72" t="s">
        <v>249</v>
      </c>
    </row>
    <row r="202" spans="1:3" x14ac:dyDescent="0.2">
      <c r="A202" s="35">
        <v>45629</v>
      </c>
      <c r="B202" s="73">
        <v>0.40694444444444444</v>
      </c>
      <c r="C202" s="72" t="s">
        <v>250</v>
      </c>
    </row>
    <row r="203" spans="1:3" x14ac:dyDescent="0.2">
      <c r="A203" s="35">
        <v>45630</v>
      </c>
      <c r="B203" s="73">
        <v>0.45624999999999999</v>
      </c>
      <c r="C203" s="72" t="s">
        <v>251</v>
      </c>
    </row>
    <row r="204" spans="1:3" x14ac:dyDescent="0.2">
      <c r="A204" s="35">
        <v>45631</v>
      </c>
      <c r="B204" s="73">
        <v>0.42499999999999999</v>
      </c>
      <c r="C204" s="72" t="s">
        <v>252</v>
      </c>
    </row>
    <row r="205" spans="1:3" ht="63.75" x14ac:dyDescent="0.2">
      <c r="A205" s="35">
        <v>45631</v>
      </c>
      <c r="B205" s="73">
        <v>0.43055555555555558</v>
      </c>
      <c r="C205" s="72" t="s">
        <v>253</v>
      </c>
    </row>
    <row r="206" spans="1:3" x14ac:dyDescent="0.2">
      <c r="A206" s="35">
        <v>45632</v>
      </c>
      <c r="B206" s="73">
        <v>0.41597222222222224</v>
      </c>
      <c r="C206" s="72" t="s">
        <v>210</v>
      </c>
    </row>
    <row r="207" spans="1:3" x14ac:dyDescent="0.2">
      <c r="A207" s="35">
        <v>45635</v>
      </c>
      <c r="B207" s="73">
        <v>0.35347222222222224</v>
      </c>
      <c r="C207" s="72" t="s">
        <v>154</v>
      </c>
    </row>
    <row r="208" spans="1:3" x14ac:dyDescent="0.2">
      <c r="A208" s="35">
        <v>45636</v>
      </c>
      <c r="B208" s="73">
        <v>0.47291666666666665</v>
      </c>
      <c r="C208" s="72" t="s">
        <v>254</v>
      </c>
    </row>
    <row r="209" spans="1:3" x14ac:dyDescent="0.2">
      <c r="A209" s="35">
        <v>45637</v>
      </c>
      <c r="B209" s="73">
        <v>0.38472222222222224</v>
      </c>
      <c r="C209" s="72" t="s">
        <v>254</v>
      </c>
    </row>
    <row r="210" spans="1:3" x14ac:dyDescent="0.2">
      <c r="A210" s="35">
        <v>45638</v>
      </c>
      <c r="B210" s="73">
        <v>0.4375</v>
      </c>
      <c r="C210" s="72" t="s">
        <v>254</v>
      </c>
    </row>
    <row r="211" spans="1:3" x14ac:dyDescent="0.2">
      <c r="A211" s="35">
        <v>45639</v>
      </c>
      <c r="B211" s="73">
        <v>0.43125000000000002</v>
      </c>
      <c r="C211" s="72" t="s">
        <v>254</v>
      </c>
    </row>
    <row r="212" spans="1:3" x14ac:dyDescent="0.2">
      <c r="A212" s="35">
        <v>45642</v>
      </c>
      <c r="B212" s="73">
        <v>0.41666666666666669</v>
      </c>
      <c r="C212" s="72" t="s">
        <v>255</v>
      </c>
    </row>
    <row r="213" spans="1:3" x14ac:dyDescent="0.2">
      <c r="A213" s="35">
        <v>45643</v>
      </c>
      <c r="B213" s="73">
        <v>0.40208333333333335</v>
      </c>
      <c r="C213" s="72" t="s">
        <v>255</v>
      </c>
    </row>
    <row r="214" spans="1:3" x14ac:dyDescent="0.2">
      <c r="A214" s="35">
        <v>45644</v>
      </c>
      <c r="B214" s="73">
        <v>0.3888888888888889</v>
      </c>
      <c r="C214" s="72" t="s">
        <v>255</v>
      </c>
    </row>
    <row r="215" spans="1:3" x14ac:dyDescent="0.2">
      <c r="A215" s="35">
        <v>45645</v>
      </c>
      <c r="B215" s="73">
        <v>0.48958333333333331</v>
      </c>
      <c r="C215" s="72" t="s">
        <v>255</v>
      </c>
    </row>
    <row r="216" spans="1:3" x14ac:dyDescent="0.2">
      <c r="A216" s="35">
        <v>45646</v>
      </c>
      <c r="B216" s="73">
        <v>0.55138888888888893</v>
      </c>
      <c r="C216" s="72" t="s">
        <v>256</v>
      </c>
    </row>
    <row r="217" spans="1:3" x14ac:dyDescent="0.2">
      <c r="A217" s="35">
        <v>45656</v>
      </c>
      <c r="B217" s="73">
        <v>0.39097222222222222</v>
      </c>
      <c r="C217" s="72" t="s">
        <v>257</v>
      </c>
    </row>
    <row r="218" spans="1:3" x14ac:dyDescent="0.2">
      <c r="A218" s="35">
        <v>45659</v>
      </c>
      <c r="B218" s="73">
        <v>0.38541666666666669</v>
      </c>
      <c r="C218" s="72" t="s">
        <v>258</v>
      </c>
    </row>
    <row r="219" spans="1:3" x14ac:dyDescent="0.2">
      <c r="A219" s="35">
        <v>45660</v>
      </c>
      <c r="B219" s="73">
        <v>0.41388888888888886</v>
      </c>
      <c r="C219" s="72" t="s">
        <v>259</v>
      </c>
    </row>
    <row r="220" spans="1:3" x14ac:dyDescent="0.2">
      <c r="A220" s="35">
        <v>45663</v>
      </c>
      <c r="B220" s="73">
        <v>0.38611111111111113</v>
      </c>
      <c r="C220" s="72" t="s">
        <v>260</v>
      </c>
    </row>
    <row r="221" spans="1:3" x14ac:dyDescent="0.2">
      <c r="A221" s="35">
        <v>45664</v>
      </c>
      <c r="B221" s="73">
        <v>0.4</v>
      </c>
      <c r="C221" s="72" t="s">
        <v>261</v>
      </c>
    </row>
    <row r="222" spans="1:3" x14ac:dyDescent="0.2">
      <c r="A222" s="35">
        <v>45665</v>
      </c>
      <c r="B222" s="73">
        <v>0.63124999999999998</v>
      </c>
      <c r="C222" s="72" t="s">
        <v>261</v>
      </c>
    </row>
    <row r="223" spans="1:3" x14ac:dyDescent="0.2">
      <c r="A223" s="35">
        <v>45666</v>
      </c>
      <c r="B223" s="73">
        <v>0.40972222222222221</v>
      </c>
      <c r="C223" s="72" t="s">
        <v>261</v>
      </c>
    </row>
    <row r="224" spans="1:3" x14ac:dyDescent="0.2">
      <c r="A224" s="35">
        <v>45667</v>
      </c>
      <c r="B224" s="73">
        <v>0.50555555555555554</v>
      </c>
      <c r="C224" s="72" t="s">
        <v>261</v>
      </c>
    </row>
    <row r="225" spans="1:3" x14ac:dyDescent="0.2">
      <c r="A225" s="35">
        <v>45670</v>
      </c>
      <c r="B225" s="73">
        <v>0.39513888888888887</v>
      </c>
      <c r="C225" s="72" t="s">
        <v>262</v>
      </c>
    </row>
    <row r="226" spans="1:3" x14ac:dyDescent="0.2">
      <c r="A226" s="35">
        <v>45671</v>
      </c>
      <c r="B226" s="73">
        <v>0.42083333333333334</v>
      </c>
      <c r="C226" s="72" t="s">
        <v>263</v>
      </c>
    </row>
    <row r="227" spans="1:3" x14ac:dyDescent="0.2">
      <c r="A227" s="35">
        <v>45672</v>
      </c>
      <c r="B227" s="73">
        <v>0.46458333333333335</v>
      </c>
      <c r="C227" s="72" t="s">
        <v>264</v>
      </c>
    </row>
    <row r="228" spans="1:3" x14ac:dyDescent="0.2">
      <c r="A228" s="35">
        <v>45673</v>
      </c>
      <c r="B228" s="73">
        <v>0.40416666666666667</v>
      </c>
      <c r="C228" s="72" t="s">
        <v>265</v>
      </c>
    </row>
    <row r="229" spans="1:3" x14ac:dyDescent="0.2">
      <c r="A229" s="35">
        <v>45674</v>
      </c>
      <c r="B229" s="73">
        <v>0.46597222222222223</v>
      </c>
      <c r="C229" s="72" t="s">
        <v>266</v>
      </c>
    </row>
    <row r="230" spans="1:3" x14ac:dyDescent="0.2">
      <c r="A230" s="35">
        <v>45677</v>
      </c>
      <c r="B230" s="73">
        <v>0.38055555555555554</v>
      </c>
      <c r="C230" s="72" t="s">
        <v>267</v>
      </c>
    </row>
    <row r="231" spans="1:3" ht="76.5" x14ac:dyDescent="0.2">
      <c r="A231" s="35">
        <v>45678</v>
      </c>
      <c r="B231" s="73">
        <v>0.375</v>
      </c>
      <c r="C231" s="93" t="s">
        <v>268</v>
      </c>
    </row>
    <row r="232" spans="1:3" ht="63.75" x14ac:dyDescent="0.2">
      <c r="A232" s="35">
        <v>45679</v>
      </c>
      <c r="B232" s="73">
        <v>0.46111111111111114</v>
      </c>
      <c r="C232" s="72" t="s">
        <v>269</v>
      </c>
    </row>
    <row r="233" spans="1:3" x14ac:dyDescent="0.2">
      <c r="A233" s="35">
        <v>45680</v>
      </c>
      <c r="B233" s="73">
        <v>0.40277777777777779</v>
      </c>
      <c r="C233" s="72" t="s">
        <v>270</v>
      </c>
    </row>
    <row r="234" spans="1:3" x14ac:dyDescent="0.2">
      <c r="A234" s="35">
        <v>45681</v>
      </c>
      <c r="B234" s="73">
        <v>0.42916666666666664</v>
      </c>
      <c r="C234" s="72" t="s">
        <v>271</v>
      </c>
    </row>
    <row r="235" spans="1:3" ht="38.25" x14ac:dyDescent="0.2">
      <c r="A235" s="35">
        <v>45684</v>
      </c>
      <c r="B235" s="73">
        <v>0.45763888888888887</v>
      </c>
      <c r="C235" s="93" t="s">
        <v>272</v>
      </c>
    </row>
    <row r="236" spans="1:3" ht="25.5" x14ac:dyDescent="0.2">
      <c r="A236" s="35">
        <v>45685</v>
      </c>
      <c r="B236" s="73">
        <v>0.46597222222222223</v>
      </c>
      <c r="C236" s="72" t="s">
        <v>273</v>
      </c>
    </row>
    <row r="237" spans="1:3" x14ac:dyDescent="0.2">
      <c r="A237" s="35">
        <v>45686</v>
      </c>
      <c r="B237" s="73">
        <v>0.45763888888888887</v>
      </c>
      <c r="C237" s="72" t="s">
        <v>274</v>
      </c>
    </row>
    <row r="238" spans="1:3" ht="25.5" x14ac:dyDescent="0.2">
      <c r="A238" s="35">
        <v>45687</v>
      </c>
      <c r="B238" s="73">
        <v>0.47986111111111113</v>
      </c>
      <c r="C238" s="72" t="s">
        <v>275</v>
      </c>
    </row>
    <row r="239" spans="1:3" ht="38.25" x14ac:dyDescent="0.2">
      <c r="A239" s="35">
        <v>45692</v>
      </c>
      <c r="B239" s="73">
        <v>0.47499999999999998</v>
      </c>
      <c r="C239" s="72" t="s">
        <v>276</v>
      </c>
    </row>
    <row r="240" spans="1:3" x14ac:dyDescent="0.2">
      <c r="A240" s="35">
        <v>45693</v>
      </c>
      <c r="B240" s="73">
        <v>0.43819444444444444</v>
      </c>
      <c r="C240" s="72" t="s">
        <v>243</v>
      </c>
    </row>
    <row r="241" spans="1:3" x14ac:dyDescent="0.2">
      <c r="A241" s="35">
        <v>45694</v>
      </c>
      <c r="B241" s="73">
        <v>0.43263888888888891</v>
      </c>
      <c r="C241" s="72" t="s">
        <v>243</v>
      </c>
    </row>
    <row r="242" spans="1:3" x14ac:dyDescent="0.2">
      <c r="A242" s="35">
        <v>45695</v>
      </c>
      <c r="B242" s="73">
        <v>0.54097222222222219</v>
      </c>
      <c r="C242" s="72" t="s">
        <v>277</v>
      </c>
    </row>
    <row r="243" spans="1:3" ht="165.75" x14ac:dyDescent="0.2">
      <c r="A243" s="35">
        <v>45698</v>
      </c>
      <c r="B243" s="73">
        <v>0.39652777777777776</v>
      </c>
      <c r="C243" s="93" t="s">
        <v>278</v>
      </c>
    </row>
    <row r="244" spans="1:3" ht="165.75" x14ac:dyDescent="0.2">
      <c r="A244" s="35">
        <v>45699</v>
      </c>
      <c r="B244" s="73">
        <v>0.42708333333333331</v>
      </c>
      <c r="C244" s="93" t="s">
        <v>278</v>
      </c>
    </row>
    <row r="245" spans="1:3" x14ac:dyDescent="0.2">
      <c r="A245" s="35">
        <v>45700</v>
      </c>
      <c r="B245" s="73">
        <v>0.41180555555555554</v>
      </c>
      <c r="C245" s="72" t="s">
        <v>279</v>
      </c>
    </row>
    <row r="246" spans="1:3" x14ac:dyDescent="0.2">
      <c r="A246" s="35">
        <v>45701</v>
      </c>
      <c r="B246" s="73">
        <v>0.40069444444444446</v>
      </c>
      <c r="C246" s="72" t="s">
        <v>280</v>
      </c>
    </row>
    <row r="247" spans="1:3" x14ac:dyDescent="0.2">
      <c r="A247" s="35">
        <v>45702</v>
      </c>
      <c r="B247" s="73">
        <v>0.40347222222222223</v>
      </c>
      <c r="C247" s="72" t="s">
        <v>281</v>
      </c>
    </row>
    <row r="248" spans="1:3" ht="25.5" x14ac:dyDescent="0.2">
      <c r="A248" s="35">
        <v>45705</v>
      </c>
      <c r="B248" s="73">
        <v>0.36319444444444443</v>
      </c>
      <c r="C248" s="72" t="s">
        <v>282</v>
      </c>
    </row>
    <row r="249" spans="1:3" ht="25.5" x14ac:dyDescent="0.2">
      <c r="A249" s="35">
        <v>45706</v>
      </c>
      <c r="B249" s="73">
        <v>0.38055555555555554</v>
      </c>
      <c r="C249" s="72" t="s">
        <v>282</v>
      </c>
    </row>
    <row r="250" spans="1:3" ht="25.5" x14ac:dyDescent="0.2">
      <c r="A250" s="35">
        <v>45707</v>
      </c>
      <c r="B250" s="73">
        <v>0.45069444444444445</v>
      </c>
      <c r="C250" s="72" t="s">
        <v>282</v>
      </c>
    </row>
    <row r="251" spans="1:3" ht="25.5" x14ac:dyDescent="0.2">
      <c r="A251" s="35">
        <v>45708</v>
      </c>
      <c r="B251" s="73">
        <v>0.57430555555555551</v>
      </c>
      <c r="C251" s="72" t="s">
        <v>282</v>
      </c>
    </row>
    <row r="252" spans="1:3" x14ac:dyDescent="0.2">
      <c r="A252" s="35">
        <v>45709</v>
      </c>
      <c r="B252" s="73">
        <v>0.4375</v>
      </c>
      <c r="C252" s="72" t="s">
        <v>210</v>
      </c>
    </row>
    <row r="253" spans="1:3" ht="89.25" x14ac:dyDescent="0.2">
      <c r="A253" s="35">
        <v>45712</v>
      </c>
      <c r="B253" s="73">
        <v>0.40555555555555556</v>
      </c>
      <c r="C253" s="72" t="s">
        <v>283</v>
      </c>
    </row>
    <row r="254" spans="1:3" x14ac:dyDescent="0.2">
      <c r="A254" s="35">
        <v>45713</v>
      </c>
      <c r="B254" s="73">
        <v>0.40277777777777779</v>
      </c>
      <c r="C254" s="72" t="s">
        <v>284</v>
      </c>
    </row>
    <row r="255" spans="1:3" x14ac:dyDescent="0.2">
      <c r="A255" s="35">
        <v>45714</v>
      </c>
      <c r="B255" s="73">
        <v>0.3923611111111111</v>
      </c>
      <c r="C255" s="72" t="s">
        <v>285</v>
      </c>
    </row>
    <row r="256" spans="1:3" x14ac:dyDescent="0.2">
      <c r="A256" s="35">
        <v>45715</v>
      </c>
      <c r="B256" s="73">
        <v>0.51180555555555551</v>
      </c>
      <c r="C256" s="72" t="s">
        <v>226</v>
      </c>
    </row>
    <row r="257" spans="1:3" x14ac:dyDescent="0.2">
      <c r="A257" s="35">
        <v>45716</v>
      </c>
      <c r="B257" s="73">
        <v>0.39652777777777776</v>
      </c>
      <c r="C257" s="72" t="s">
        <v>286</v>
      </c>
    </row>
    <row r="258" spans="1:3" x14ac:dyDescent="0.2">
      <c r="A258" s="35">
        <v>45719</v>
      </c>
      <c r="B258" s="81" t="s">
        <v>287</v>
      </c>
      <c r="C258" s="72" t="s">
        <v>288</v>
      </c>
    </row>
    <row r="259" spans="1:3" x14ac:dyDescent="0.2">
      <c r="A259" s="35">
        <v>45720</v>
      </c>
      <c r="B259" s="73">
        <v>0.48194444444444445</v>
      </c>
      <c r="C259" s="72" t="s">
        <v>288</v>
      </c>
    </row>
    <row r="260" spans="1:3" x14ac:dyDescent="0.2">
      <c r="A260" s="35">
        <v>45721</v>
      </c>
      <c r="B260" s="73">
        <v>0.41180555555555554</v>
      </c>
      <c r="C260" s="72" t="s">
        <v>288</v>
      </c>
    </row>
    <row r="261" spans="1:3" x14ac:dyDescent="0.2">
      <c r="A261" s="35">
        <v>45722</v>
      </c>
      <c r="B261" s="73">
        <v>0.44930555555555557</v>
      </c>
      <c r="C261" s="72" t="s">
        <v>288</v>
      </c>
    </row>
    <row r="262" spans="1:3" x14ac:dyDescent="0.2">
      <c r="A262" s="35">
        <v>45723</v>
      </c>
      <c r="B262" s="73">
        <v>0.42638888888888887</v>
      </c>
      <c r="C262" s="72" t="s">
        <v>288</v>
      </c>
    </row>
    <row r="263" spans="1:3" x14ac:dyDescent="0.2">
      <c r="A263" s="35">
        <v>45726</v>
      </c>
      <c r="B263" s="73">
        <v>0.40486111111111112</v>
      </c>
      <c r="C263" s="72" t="s">
        <v>289</v>
      </c>
    </row>
    <row r="264" spans="1:3" x14ac:dyDescent="0.2">
      <c r="A264" s="35">
        <v>45727</v>
      </c>
      <c r="B264" s="73">
        <v>0.40763888888888888</v>
      </c>
      <c r="C264" s="72" t="s">
        <v>290</v>
      </c>
    </row>
    <row r="265" spans="1:3" x14ac:dyDescent="0.2">
      <c r="A265" s="35">
        <v>45728</v>
      </c>
      <c r="B265" s="73">
        <v>0.38611111111111113</v>
      </c>
      <c r="C265" s="72" t="s">
        <v>226</v>
      </c>
    </row>
    <row r="266" spans="1:3" x14ac:dyDescent="0.2">
      <c r="A266" s="35">
        <v>45790</v>
      </c>
      <c r="B266" s="73">
        <v>0.44305555555555554</v>
      </c>
      <c r="C266" s="72" t="s">
        <v>293</v>
      </c>
    </row>
    <row r="267" spans="1:3" x14ac:dyDescent="0.2">
      <c r="A267" s="35">
        <v>45730</v>
      </c>
      <c r="B267" s="73">
        <v>0.46597222222222223</v>
      </c>
      <c r="C267" s="72" t="s">
        <v>291</v>
      </c>
    </row>
    <row r="268" spans="1:3" x14ac:dyDescent="0.2">
      <c r="A268" s="35">
        <v>45734</v>
      </c>
      <c r="B268" s="73">
        <v>0.44444444444444442</v>
      </c>
      <c r="C268" s="93" t="s">
        <v>292</v>
      </c>
    </row>
    <row r="269" spans="1:3" x14ac:dyDescent="0.2">
      <c r="A269" s="35">
        <v>45735</v>
      </c>
      <c r="B269" s="73">
        <v>0.4284722222222222</v>
      </c>
      <c r="C269" s="72" t="s">
        <v>294</v>
      </c>
    </row>
    <row r="270" spans="1:3" x14ac:dyDescent="0.2">
      <c r="A270" s="35">
        <v>45736</v>
      </c>
      <c r="B270" s="73">
        <v>0.42638888888888887</v>
      </c>
      <c r="C270" s="72" t="s">
        <v>295</v>
      </c>
    </row>
    <row r="271" spans="1:3" x14ac:dyDescent="0.2">
      <c r="A271" s="35">
        <v>45737</v>
      </c>
      <c r="B271" s="73">
        <v>0.4201388888888889</v>
      </c>
      <c r="C271" s="72" t="s">
        <v>226</v>
      </c>
    </row>
    <row r="272" spans="1:3" ht="51" x14ac:dyDescent="0.2">
      <c r="A272" s="35">
        <v>45740</v>
      </c>
      <c r="B272" s="73">
        <v>0.39930555555555558</v>
      </c>
      <c r="C272" s="72" t="s">
        <v>296</v>
      </c>
    </row>
    <row r="273" spans="1:3" x14ac:dyDescent="0.2">
      <c r="A273" s="35">
        <v>45741</v>
      </c>
      <c r="B273" s="73">
        <v>0.49583333333333335</v>
      </c>
      <c r="C273" s="72" t="s">
        <v>297</v>
      </c>
    </row>
    <row r="274" spans="1:3" ht="63.75" x14ac:dyDescent="0.2">
      <c r="A274" s="35">
        <v>45742</v>
      </c>
      <c r="B274" s="73">
        <v>0.39444444444444443</v>
      </c>
      <c r="C274" s="72" t="s">
        <v>298</v>
      </c>
    </row>
    <row r="275" spans="1:3" x14ac:dyDescent="0.2">
      <c r="A275" s="35">
        <v>45743</v>
      </c>
      <c r="B275" s="73">
        <v>0.47013888888888888</v>
      </c>
      <c r="C275" s="72" t="s">
        <v>299</v>
      </c>
    </row>
    <row r="276" spans="1:3" x14ac:dyDescent="0.2">
      <c r="A276" s="35">
        <v>45744</v>
      </c>
      <c r="B276" s="73">
        <v>0.4236111111111111</v>
      </c>
      <c r="C276" s="72" t="s">
        <v>299</v>
      </c>
    </row>
    <row r="277" spans="1:3" x14ac:dyDescent="0.2">
      <c r="A277" s="35">
        <v>45747</v>
      </c>
      <c r="B277" s="73">
        <v>0.39652777777777776</v>
      </c>
      <c r="C277" s="72" t="s">
        <v>300</v>
      </c>
    </row>
    <row r="278" spans="1:3" x14ac:dyDescent="0.2">
      <c r="A278" s="35">
        <v>45748</v>
      </c>
      <c r="B278" s="73">
        <v>0.4548611111111111</v>
      </c>
      <c r="C278" s="72" t="s">
        <v>301</v>
      </c>
    </row>
    <row r="279" spans="1:3" ht="38.25" x14ac:dyDescent="0.2">
      <c r="A279" s="35">
        <v>45749</v>
      </c>
      <c r="B279" s="73">
        <v>0.37777777777777777</v>
      </c>
      <c r="C279" s="93" t="s">
        <v>302</v>
      </c>
    </row>
    <row r="280" spans="1:3" x14ac:dyDescent="0.2">
      <c r="A280" s="35">
        <v>45750</v>
      </c>
      <c r="B280" s="73">
        <v>0.49375000000000002</v>
      </c>
      <c r="C280" s="72" t="s">
        <v>303</v>
      </c>
    </row>
    <row r="281" spans="1:3" x14ac:dyDescent="0.2">
      <c r="A281" s="35">
        <v>45751</v>
      </c>
      <c r="B281" s="73">
        <v>0.44236111111111109</v>
      </c>
      <c r="C281" s="72" t="s">
        <v>304</v>
      </c>
    </row>
    <row r="282" spans="1:3" x14ac:dyDescent="0.2">
      <c r="A282" s="35">
        <v>45754</v>
      </c>
      <c r="B282" s="73">
        <v>0.39791666666666664</v>
      </c>
      <c r="C282" s="72" t="s">
        <v>305</v>
      </c>
    </row>
    <row r="283" spans="1:3" x14ac:dyDescent="0.2">
      <c r="A283" s="35">
        <v>45755</v>
      </c>
      <c r="B283" s="73">
        <v>0.42291666666666666</v>
      </c>
      <c r="C283" s="72" t="s">
        <v>306</v>
      </c>
    </row>
    <row r="284" spans="1:3" x14ac:dyDescent="0.2">
      <c r="A284" s="35">
        <v>45756</v>
      </c>
      <c r="B284" s="73">
        <v>0.36527777777777776</v>
      </c>
      <c r="C284" s="72" t="s">
        <v>299</v>
      </c>
    </row>
    <row r="285" spans="1:3" x14ac:dyDescent="0.2">
      <c r="A285" s="35">
        <v>45757</v>
      </c>
      <c r="B285" s="73">
        <v>0.37569444444444444</v>
      </c>
      <c r="C285" s="72" t="s">
        <v>299</v>
      </c>
    </row>
    <row r="286" spans="1:3" x14ac:dyDescent="0.2">
      <c r="A286" s="35">
        <v>45758</v>
      </c>
      <c r="B286" s="73">
        <v>0.37638888888888888</v>
      </c>
      <c r="C286" s="72" t="s">
        <v>307</v>
      </c>
    </row>
    <row r="287" spans="1:3" ht="63.75" x14ac:dyDescent="0.2">
      <c r="A287" s="35">
        <v>45761</v>
      </c>
      <c r="B287" s="73">
        <v>0.36180555555555555</v>
      </c>
      <c r="C287" s="72" t="s">
        <v>308</v>
      </c>
    </row>
    <row r="288" spans="1:3" ht="51" x14ac:dyDescent="0.2">
      <c r="A288" s="35">
        <v>45768</v>
      </c>
      <c r="B288" s="73">
        <v>0.43888888888888888</v>
      </c>
      <c r="C288" s="93" t="s">
        <v>309</v>
      </c>
    </row>
    <row r="289" spans="1:3" x14ac:dyDescent="0.2">
      <c r="A289" s="35">
        <v>45769</v>
      </c>
      <c r="B289" s="73">
        <v>0.3923611111111111</v>
      </c>
      <c r="C289" s="72" t="s">
        <v>310</v>
      </c>
    </row>
    <row r="290" spans="1:3" x14ac:dyDescent="0.2">
      <c r="A290" s="35">
        <v>45770</v>
      </c>
      <c r="B290" s="73">
        <v>0.37361111111111112</v>
      </c>
      <c r="C290" s="72" t="s">
        <v>311</v>
      </c>
    </row>
    <row r="291" spans="1:3" ht="76.5" x14ac:dyDescent="0.2">
      <c r="A291" s="35">
        <v>45771</v>
      </c>
      <c r="B291" s="73">
        <v>0.3527777777777778</v>
      </c>
      <c r="C291" s="72" t="s">
        <v>312</v>
      </c>
    </row>
    <row r="292" spans="1:3" ht="51" x14ac:dyDescent="0.2">
      <c r="A292" s="35">
        <v>45772</v>
      </c>
      <c r="B292" s="73">
        <v>0.45069444444444445</v>
      </c>
      <c r="C292" s="72" t="s">
        <v>313</v>
      </c>
    </row>
    <row r="293" spans="1:3" x14ac:dyDescent="0.2">
      <c r="B293" s="73">
        <v>0.46736111111111112</v>
      </c>
      <c r="C293" s="72" t="s">
        <v>154</v>
      </c>
    </row>
    <row r="294" spans="1:3" x14ac:dyDescent="0.2">
      <c r="A294" s="35">
        <v>45775</v>
      </c>
      <c r="B294" s="73">
        <v>0.38750000000000001</v>
      </c>
      <c r="C294" s="72" t="s">
        <v>314</v>
      </c>
    </row>
    <row r="295" spans="1:3" x14ac:dyDescent="0.2">
      <c r="A295" s="35">
        <v>45776</v>
      </c>
      <c r="B295" s="73">
        <v>0.43541666666666667</v>
      </c>
      <c r="C295" s="72" t="s">
        <v>314</v>
      </c>
    </row>
    <row r="296" spans="1:3" x14ac:dyDescent="0.2">
      <c r="A296" s="35">
        <v>45777</v>
      </c>
      <c r="B296" s="73">
        <v>0.49652777777777779</v>
      </c>
      <c r="C296" s="72" t="s">
        <v>314</v>
      </c>
    </row>
    <row r="297" spans="1:3" x14ac:dyDescent="0.2">
      <c r="A297" s="35">
        <v>45779</v>
      </c>
      <c r="B297" s="73">
        <v>0.375</v>
      </c>
      <c r="C297" s="72" t="s">
        <v>315</v>
      </c>
    </row>
    <row r="298" spans="1:3" ht="25.5" x14ac:dyDescent="0.2">
      <c r="A298" s="35">
        <v>45782</v>
      </c>
      <c r="B298" s="73">
        <v>0.39791666666666664</v>
      </c>
      <c r="C298" s="93" t="s">
        <v>316</v>
      </c>
    </row>
    <row r="299" spans="1:3" x14ac:dyDescent="0.2">
      <c r="A299" s="35">
        <v>45783</v>
      </c>
      <c r="B299" s="73">
        <v>0.37569444444444444</v>
      </c>
      <c r="C299" s="72" t="s">
        <v>317</v>
      </c>
    </row>
    <row r="300" spans="1:3" x14ac:dyDescent="0.2">
      <c r="A300" s="35">
        <v>45784</v>
      </c>
      <c r="B300" s="73">
        <v>0.45</v>
      </c>
      <c r="C300" s="72" t="s">
        <v>243</v>
      </c>
    </row>
    <row r="301" spans="1:3" x14ac:dyDescent="0.2">
      <c r="A301" s="35">
        <v>45785</v>
      </c>
      <c r="B301" s="73">
        <v>0.49375000000000002</v>
      </c>
      <c r="C301" s="71" t="s">
        <v>318</v>
      </c>
    </row>
    <row r="302" spans="1:3" x14ac:dyDescent="0.2">
      <c r="A302" s="35">
        <v>45786</v>
      </c>
      <c r="B302" s="73">
        <v>0.37638888888888888</v>
      </c>
      <c r="C302" s="72" t="s">
        <v>154</v>
      </c>
    </row>
    <row r="303" spans="1:3" x14ac:dyDescent="0.2">
      <c r="A303" s="35">
        <v>45789</v>
      </c>
      <c r="B303" s="73">
        <v>0.44791666666666669</v>
      </c>
      <c r="C303" s="72" t="s">
        <v>319</v>
      </c>
    </row>
    <row r="304" spans="1:3" x14ac:dyDescent="0.2">
      <c r="A304" s="35">
        <v>45790</v>
      </c>
      <c r="B304" s="73">
        <v>0.41736111111111113</v>
      </c>
      <c r="C304" s="72" t="s">
        <v>319</v>
      </c>
    </row>
    <row r="305" spans="1:3" x14ac:dyDescent="0.2">
      <c r="A305" s="35">
        <v>45791</v>
      </c>
      <c r="B305" s="73">
        <v>0.51180555555555551</v>
      </c>
      <c r="C305" s="72" t="s">
        <v>319</v>
      </c>
    </row>
    <row r="306" spans="1:3" x14ac:dyDescent="0.2">
      <c r="A306" s="35">
        <v>45792</v>
      </c>
      <c r="B306" s="73">
        <v>0.37916666666666665</v>
      </c>
      <c r="C306" s="72" t="s">
        <v>320</v>
      </c>
    </row>
    <row r="307" spans="1:3" x14ac:dyDescent="0.2">
      <c r="A307" s="35">
        <v>45793</v>
      </c>
      <c r="B307" s="73">
        <v>0.41388888888888886</v>
      </c>
      <c r="C307" s="72" t="s">
        <v>321</v>
      </c>
    </row>
    <row r="308" spans="1:3" x14ac:dyDescent="0.2">
      <c r="A308" s="35">
        <v>45796</v>
      </c>
      <c r="B308" s="73">
        <v>0.47083333333333333</v>
      </c>
      <c r="C308" s="72" t="s">
        <v>322</v>
      </c>
    </row>
    <row r="309" spans="1:3" x14ac:dyDescent="0.2">
      <c r="A309" s="35">
        <v>45797</v>
      </c>
      <c r="B309" s="73">
        <v>0.42569444444444443</v>
      </c>
      <c r="C309" s="71" t="s">
        <v>323</v>
      </c>
    </row>
    <row r="310" spans="1:3" ht="51" x14ac:dyDescent="0.2">
      <c r="A310" s="35">
        <v>45798</v>
      </c>
      <c r="B310" s="73">
        <v>0.40833333333333333</v>
      </c>
      <c r="C310" s="93" t="s">
        <v>324</v>
      </c>
    </row>
    <row r="311" spans="1:3" x14ac:dyDescent="0.2">
      <c r="A311" s="35">
        <v>45799</v>
      </c>
      <c r="B311" s="73">
        <v>0.36666666666666664</v>
      </c>
      <c r="C311" s="72" t="s">
        <v>325</v>
      </c>
    </row>
    <row r="312" spans="1:3" x14ac:dyDescent="0.2">
      <c r="A312" s="35">
        <v>45800</v>
      </c>
      <c r="B312" s="73">
        <v>0.38680555555555557</v>
      </c>
      <c r="C312" s="72" t="s">
        <v>326</v>
      </c>
    </row>
    <row r="313" spans="1:3" x14ac:dyDescent="0.2">
      <c r="A313" s="35">
        <v>45803</v>
      </c>
      <c r="B313" s="73">
        <v>0.36527777777777776</v>
      </c>
      <c r="C313" s="72" t="s">
        <v>327</v>
      </c>
    </row>
    <row r="314" spans="1:3" x14ac:dyDescent="0.2">
      <c r="A314" s="35">
        <v>45804</v>
      </c>
      <c r="B314" s="73">
        <v>0.43680555555555556</v>
      </c>
      <c r="C314" s="72" t="s">
        <v>328</v>
      </c>
    </row>
    <row r="315" spans="1:3" x14ac:dyDescent="0.2">
      <c r="A315" s="35">
        <v>45805</v>
      </c>
      <c r="B315" s="73">
        <v>0.44097222222222221</v>
      </c>
      <c r="C315" s="72" t="s">
        <v>328</v>
      </c>
    </row>
    <row r="316" spans="1:3" x14ac:dyDescent="0.2">
      <c r="A316" s="35">
        <v>45806</v>
      </c>
      <c r="B316" s="73">
        <v>0.4284722222222222</v>
      </c>
      <c r="C316" s="72" t="s">
        <v>328</v>
      </c>
    </row>
    <row r="317" spans="1:3" ht="25.5" x14ac:dyDescent="0.2">
      <c r="A317" s="35">
        <v>45807</v>
      </c>
      <c r="B317" s="73">
        <v>0.36875000000000002</v>
      </c>
      <c r="C317" s="72" t="s">
        <v>329</v>
      </c>
    </row>
    <row r="318" spans="1:3" ht="25.5" x14ac:dyDescent="0.2">
      <c r="A318" s="35">
        <v>45810</v>
      </c>
      <c r="B318" s="73">
        <v>0.375</v>
      </c>
      <c r="C318" s="72" t="s">
        <v>330</v>
      </c>
    </row>
    <row r="319" spans="1:3" ht="38.25" x14ac:dyDescent="0.2">
      <c r="A319" s="35">
        <v>45811</v>
      </c>
      <c r="B319" s="73">
        <v>0.51736111111111116</v>
      </c>
      <c r="C319" s="72" t="s">
        <v>331</v>
      </c>
    </row>
    <row r="320" spans="1:3" x14ac:dyDescent="0.2">
      <c r="A320" s="35">
        <v>45812</v>
      </c>
      <c r="B320" s="73">
        <v>0.34861111111111109</v>
      </c>
      <c r="C320" s="72" t="s">
        <v>154</v>
      </c>
    </row>
    <row r="321" spans="1:3" x14ac:dyDescent="0.2">
      <c r="A321" s="35">
        <v>45813</v>
      </c>
      <c r="B321" s="73">
        <v>0.36180555555555555</v>
      </c>
      <c r="C321" s="72" t="s">
        <v>254</v>
      </c>
    </row>
    <row r="322" spans="1:3" x14ac:dyDescent="0.2">
      <c r="A322" s="35">
        <v>45814</v>
      </c>
      <c r="B322" s="73">
        <v>0.39444444444444443</v>
      </c>
      <c r="C322" s="72" t="s">
        <v>254</v>
      </c>
    </row>
    <row r="323" spans="1:3" x14ac:dyDescent="0.2">
      <c r="A323" s="35">
        <v>45818</v>
      </c>
      <c r="B323" s="73">
        <v>0.38333333333333336</v>
      </c>
      <c r="C323" s="72" t="s">
        <v>332</v>
      </c>
    </row>
    <row r="324" spans="1:3" x14ac:dyDescent="0.2">
      <c r="A324" s="35">
        <v>45819</v>
      </c>
      <c r="B324" s="73">
        <v>0.41597222222222224</v>
      </c>
      <c r="C324" s="72" t="s">
        <v>332</v>
      </c>
    </row>
    <row r="325" spans="1:3" x14ac:dyDescent="0.2">
      <c r="A325" s="35">
        <v>45820</v>
      </c>
      <c r="B325" s="73">
        <v>0.45069444444444445</v>
      </c>
      <c r="C325" s="72" t="s">
        <v>333</v>
      </c>
    </row>
    <row r="326" spans="1:3" x14ac:dyDescent="0.2">
      <c r="A326" s="35">
        <v>45821</v>
      </c>
      <c r="B326" s="73">
        <v>0.37638888888888888</v>
      </c>
      <c r="C326" s="71" t="s">
        <v>334</v>
      </c>
    </row>
    <row r="327" spans="1:3" x14ac:dyDescent="0.2">
      <c r="A327" s="35">
        <v>45824</v>
      </c>
      <c r="B327" s="73">
        <v>0.40694444444444444</v>
      </c>
      <c r="C327" s="72" t="s">
        <v>335</v>
      </c>
    </row>
    <row r="328" spans="1:3" x14ac:dyDescent="0.2">
      <c r="A328" s="35">
        <v>45825</v>
      </c>
      <c r="B328" s="73">
        <v>0.40833333333333333</v>
      </c>
      <c r="C328" s="72" t="s">
        <v>243</v>
      </c>
    </row>
    <row r="329" spans="1:3" x14ac:dyDescent="0.2">
      <c r="A329" s="35">
        <v>45826</v>
      </c>
      <c r="B329" s="81">
        <v>11.4</v>
      </c>
      <c r="C329" s="72" t="s">
        <v>336</v>
      </c>
    </row>
    <row r="330" spans="1:3" x14ac:dyDescent="0.2">
      <c r="A330" s="35">
        <v>45827</v>
      </c>
      <c r="B330" s="73">
        <v>0.38333333333333336</v>
      </c>
      <c r="C330" s="72" t="s">
        <v>243</v>
      </c>
    </row>
    <row r="331" spans="1:3" x14ac:dyDescent="0.2">
      <c r="B331" s="73">
        <v>0.62847222222222221</v>
      </c>
      <c r="C331" s="72" t="s">
        <v>337</v>
      </c>
    </row>
    <row r="332" spans="1:3" x14ac:dyDescent="0.2">
      <c r="A332" s="35">
        <v>45828</v>
      </c>
      <c r="B332" s="73">
        <v>0.38194444444444442</v>
      </c>
      <c r="C332" s="72" t="s">
        <v>338</v>
      </c>
    </row>
    <row r="333" spans="1:3" x14ac:dyDescent="0.2">
      <c r="A333" s="35">
        <v>45832</v>
      </c>
      <c r="B333" s="73">
        <v>0.41875000000000001</v>
      </c>
      <c r="C333" s="72" t="s">
        <v>339</v>
      </c>
    </row>
    <row r="334" spans="1:3" x14ac:dyDescent="0.2">
      <c r="A334" s="35">
        <v>45833</v>
      </c>
      <c r="B334" s="73">
        <v>0.37986111111111109</v>
      </c>
      <c r="C334" s="72" t="s">
        <v>340</v>
      </c>
    </row>
    <row r="335" spans="1:3" x14ac:dyDescent="0.2">
      <c r="A335" s="35">
        <v>45834</v>
      </c>
      <c r="B335" s="73">
        <v>0.40208333333333335</v>
      </c>
      <c r="C335" s="72" t="s">
        <v>340</v>
      </c>
    </row>
    <row r="336" spans="1:3" ht="25.5" x14ac:dyDescent="0.2">
      <c r="A336" s="35">
        <v>45835</v>
      </c>
      <c r="B336" s="73">
        <v>0.37569444444444444</v>
      </c>
      <c r="C336" s="72" t="s">
        <v>341</v>
      </c>
    </row>
    <row r="337" spans="1:3" ht="25.5" x14ac:dyDescent="0.2">
      <c r="A337" s="35">
        <v>45838</v>
      </c>
      <c r="B337" s="73">
        <v>0.38750000000000001</v>
      </c>
      <c r="C337" s="93" t="s">
        <v>342</v>
      </c>
    </row>
    <row r="338" spans="1:3" ht="25.5" x14ac:dyDescent="0.2">
      <c r="A338" s="35">
        <v>45839</v>
      </c>
      <c r="B338" s="73">
        <v>0.41666666666666669</v>
      </c>
      <c r="C338" s="72" t="s">
        <v>343</v>
      </c>
    </row>
    <row r="339" spans="1:3" ht="25.5" x14ac:dyDescent="0.2">
      <c r="A339" s="35">
        <v>45840</v>
      </c>
      <c r="B339" s="73">
        <v>0.48055555555555557</v>
      </c>
      <c r="C339" s="72" t="s">
        <v>344</v>
      </c>
    </row>
    <row r="340" spans="1:3" x14ac:dyDescent="0.2">
      <c r="A340" s="35">
        <v>45841</v>
      </c>
      <c r="B340" s="73">
        <v>0.35694444444444445</v>
      </c>
      <c r="C340" s="72" t="s">
        <v>345</v>
      </c>
    </row>
    <row r="341" spans="1:3" x14ac:dyDescent="0.2">
      <c r="A341" s="35">
        <v>45842</v>
      </c>
      <c r="B341" s="73">
        <v>0.39097222222222222</v>
      </c>
      <c r="C341" s="72" t="s">
        <v>346</v>
      </c>
    </row>
    <row r="342" spans="1:3" x14ac:dyDescent="0.2">
      <c r="A342" s="35">
        <v>45845</v>
      </c>
      <c r="B342" s="73">
        <v>0.40902777777777777</v>
      </c>
      <c r="C342" s="72" t="s">
        <v>346</v>
      </c>
    </row>
    <row r="343" spans="1:3" x14ac:dyDescent="0.2">
      <c r="A343" s="35">
        <v>45846</v>
      </c>
      <c r="B343" s="73">
        <v>0.38263888888888886</v>
      </c>
      <c r="C343" s="72" t="s">
        <v>346</v>
      </c>
    </row>
    <row r="344" spans="1:3" x14ac:dyDescent="0.2">
      <c r="A344" s="35">
        <v>45847</v>
      </c>
      <c r="B344" s="73">
        <v>0.39166666666666666</v>
      </c>
      <c r="C344" s="72" t="s">
        <v>346</v>
      </c>
    </row>
    <row r="345" spans="1:3" x14ac:dyDescent="0.2">
      <c r="A345" s="35">
        <v>45848</v>
      </c>
      <c r="B345" s="73">
        <v>0.38333333333333336</v>
      </c>
      <c r="C345" s="72" t="s">
        <v>346</v>
      </c>
    </row>
    <row r="346" spans="1:3" x14ac:dyDescent="0.2">
      <c r="A346" s="35">
        <v>45849</v>
      </c>
      <c r="B346" s="73">
        <v>0.3611111111111111</v>
      </c>
      <c r="C346" s="72" t="s">
        <v>346</v>
      </c>
    </row>
    <row r="347" spans="1:3" x14ac:dyDescent="0.2">
      <c r="A347" s="35">
        <v>45852</v>
      </c>
      <c r="B347" s="73">
        <v>0.43472222222222223</v>
      </c>
      <c r="C347" s="72" t="s">
        <v>347</v>
      </c>
    </row>
    <row r="348" spans="1:3" x14ac:dyDescent="0.2">
      <c r="A348" s="35">
        <v>45853</v>
      </c>
      <c r="B348" s="73">
        <v>0.46319444444444446</v>
      </c>
      <c r="C348" s="72" t="s">
        <v>243</v>
      </c>
    </row>
    <row r="349" spans="1:3" x14ac:dyDescent="0.2">
      <c r="A349" s="35">
        <v>45854</v>
      </c>
      <c r="B349" s="73">
        <v>0.37013888888888891</v>
      </c>
      <c r="C349" s="72" t="s">
        <v>243</v>
      </c>
    </row>
    <row r="350" spans="1:3" x14ac:dyDescent="0.2">
      <c r="A350" s="35">
        <v>45855</v>
      </c>
      <c r="B350" s="73">
        <v>0.4236111111111111</v>
      </c>
      <c r="C350" s="72" t="s">
        <v>243</v>
      </c>
    </row>
    <row r="351" spans="1:3" x14ac:dyDescent="0.2">
      <c r="A351" s="35">
        <v>45856</v>
      </c>
      <c r="B351" s="73">
        <v>0.49166666666666664</v>
      </c>
      <c r="C351" s="72" t="s">
        <v>348</v>
      </c>
    </row>
    <row r="352" spans="1:3" x14ac:dyDescent="0.2">
      <c r="A352" s="35">
        <v>45859</v>
      </c>
      <c r="B352" s="81">
        <v>8.48</v>
      </c>
      <c r="C352" s="72" t="s">
        <v>349</v>
      </c>
    </row>
    <row r="353" spans="1:3" ht="38.25" x14ac:dyDescent="0.2">
      <c r="A353" s="35">
        <v>45860</v>
      </c>
      <c r="B353" s="73">
        <v>0.36388888888888887</v>
      </c>
      <c r="C353" s="93" t="s">
        <v>350</v>
      </c>
    </row>
    <row r="354" spans="1:3" x14ac:dyDescent="0.2">
      <c r="A354" s="35">
        <v>45861</v>
      </c>
      <c r="B354" s="73">
        <v>0.36736111111111114</v>
      </c>
      <c r="C354" s="72" t="s">
        <v>351</v>
      </c>
    </row>
    <row r="355" spans="1:3" x14ac:dyDescent="0.2">
      <c r="A355" s="35">
        <v>45862</v>
      </c>
      <c r="B355" s="73">
        <v>0.45</v>
      </c>
      <c r="C355" s="72" t="s">
        <v>243</v>
      </c>
    </row>
    <row r="356" spans="1:3" x14ac:dyDescent="0.2">
      <c r="A356" s="35">
        <v>45863</v>
      </c>
      <c r="B356" s="73">
        <v>0.36736111111111114</v>
      </c>
      <c r="C356" s="72" t="s">
        <v>352</v>
      </c>
    </row>
    <row r="357" spans="1:3" x14ac:dyDescent="0.2">
      <c r="A357" s="35">
        <v>45866</v>
      </c>
      <c r="B357" s="73">
        <v>0.36805555555555558</v>
      </c>
      <c r="C357" s="72" t="s">
        <v>353</v>
      </c>
    </row>
    <row r="358" spans="1:3" ht="63.75" x14ac:dyDescent="0.2">
      <c r="A358" s="35">
        <v>45867</v>
      </c>
      <c r="B358" s="73">
        <v>0.42708333333333331</v>
      </c>
      <c r="C358" s="72" t="s">
        <v>354</v>
      </c>
    </row>
    <row r="359" spans="1:3" ht="25.5" x14ac:dyDescent="0.2">
      <c r="A359" s="35">
        <v>45868</v>
      </c>
      <c r="B359" s="73">
        <v>0.38333333333333336</v>
      </c>
      <c r="C359" s="72" t="s">
        <v>355</v>
      </c>
    </row>
    <row r="360" spans="1:3" x14ac:dyDescent="0.2">
      <c r="C360" s="72" t="s">
        <v>356</v>
      </c>
    </row>
    <row r="361" spans="1:3" x14ac:dyDescent="0.2">
      <c r="A361" s="35">
        <v>45869</v>
      </c>
      <c r="B361" s="73">
        <v>0.44444444444444442</v>
      </c>
      <c r="C361" s="72" t="s">
        <v>254</v>
      </c>
    </row>
    <row r="362" spans="1:3" x14ac:dyDescent="0.2">
      <c r="A362" s="35">
        <v>45870</v>
      </c>
      <c r="B362" s="73">
        <v>0.37638888888888888</v>
      </c>
      <c r="C362" s="72" t="s">
        <v>254</v>
      </c>
    </row>
    <row r="363" spans="1:3" x14ac:dyDescent="0.2">
      <c r="A363" s="35">
        <v>45873</v>
      </c>
      <c r="B363" s="73">
        <v>2.0833333333333333E-3</v>
      </c>
      <c r="C363" s="72" t="s">
        <v>254</v>
      </c>
    </row>
    <row r="364" spans="1:3" x14ac:dyDescent="0.2">
      <c r="A364" s="35">
        <v>45874</v>
      </c>
      <c r="B364" s="73">
        <v>0.46736111111111112</v>
      </c>
      <c r="C364" s="72" t="s">
        <v>254</v>
      </c>
    </row>
    <row r="365" spans="1:3" x14ac:dyDescent="0.2">
      <c r="A365" s="35">
        <v>45875</v>
      </c>
      <c r="B365" s="73">
        <v>0.45416666666666666</v>
      </c>
      <c r="C365" s="72" t="s">
        <v>254</v>
      </c>
    </row>
    <row r="366" spans="1:3" x14ac:dyDescent="0.2">
      <c r="A366" s="35">
        <v>45876</v>
      </c>
      <c r="B366" s="73">
        <v>0.40486111111111112</v>
      </c>
      <c r="C366" s="72" t="s">
        <v>254</v>
      </c>
    </row>
    <row r="367" spans="1:3" x14ac:dyDescent="0.2">
      <c r="A367" s="35">
        <v>45877</v>
      </c>
      <c r="B367" s="73">
        <v>0.39513888888888887</v>
      </c>
      <c r="C367" s="72" t="s">
        <v>254</v>
      </c>
    </row>
    <row r="368" spans="1:3" x14ac:dyDescent="0.2">
      <c r="A368" s="35">
        <v>45881</v>
      </c>
      <c r="B368" s="73">
        <v>0.40486111111111112</v>
      </c>
      <c r="C368" s="72" t="s">
        <v>357</v>
      </c>
    </row>
    <row r="369" spans="1:3" x14ac:dyDescent="0.2">
      <c r="A369" s="35">
        <v>45882</v>
      </c>
      <c r="B369" s="73">
        <v>0.39444444444444443</v>
      </c>
      <c r="C369" s="72" t="s">
        <v>243</v>
      </c>
    </row>
    <row r="370" spans="1:3" x14ac:dyDescent="0.2">
      <c r="A370" s="35">
        <v>45883</v>
      </c>
      <c r="B370" s="73">
        <v>0.3972222222222222</v>
      </c>
      <c r="C370" s="72" t="s">
        <v>243</v>
      </c>
    </row>
    <row r="371" spans="1:3" x14ac:dyDescent="0.2">
      <c r="A371" s="35">
        <v>45884</v>
      </c>
      <c r="B371" s="73">
        <v>0.35208333333333336</v>
      </c>
      <c r="C371" s="72" t="s">
        <v>243</v>
      </c>
    </row>
    <row r="372" spans="1:3" ht="25.5" x14ac:dyDescent="0.2">
      <c r="A372" s="35">
        <v>45887</v>
      </c>
      <c r="B372" s="73">
        <v>0.42638888888888887</v>
      </c>
      <c r="C372" s="72" t="s">
        <v>358</v>
      </c>
    </row>
    <row r="373" spans="1:3" ht="63.75" x14ac:dyDescent="0.2">
      <c r="A373" s="35">
        <v>45888</v>
      </c>
      <c r="B373" s="73">
        <v>0.37222222222222223</v>
      </c>
      <c r="C373" s="93" t="s">
        <v>359</v>
      </c>
    </row>
    <row r="374" spans="1:3" x14ac:dyDescent="0.2">
      <c r="A374" s="35">
        <v>45889</v>
      </c>
      <c r="B374" s="73">
        <v>0.38472222222222224</v>
      </c>
      <c r="C374" s="72" t="s">
        <v>360</v>
      </c>
    </row>
    <row r="375" spans="1:3" ht="25.5" x14ac:dyDescent="0.2">
      <c r="A375" s="35">
        <v>45890</v>
      </c>
      <c r="B375" s="73">
        <v>0.37986111111111109</v>
      </c>
      <c r="C375" s="93" t="s">
        <v>361</v>
      </c>
    </row>
    <row r="376" spans="1:3" x14ac:dyDescent="0.2">
      <c r="A376" s="35">
        <v>45891</v>
      </c>
      <c r="B376" s="73">
        <v>0.39652777777777776</v>
      </c>
      <c r="C376" s="72" t="s">
        <v>362</v>
      </c>
    </row>
    <row r="377" spans="1:3" ht="76.5" x14ac:dyDescent="0.2">
      <c r="A377" s="35">
        <v>45894</v>
      </c>
      <c r="B377" s="73">
        <v>0.37638888888888888</v>
      </c>
      <c r="C377" s="93" t="s">
        <v>363</v>
      </c>
    </row>
    <row r="378" spans="1:3" ht="76.5" x14ac:dyDescent="0.2">
      <c r="A378" s="35">
        <v>45895</v>
      </c>
      <c r="B378" s="73">
        <v>0.40902777777777777</v>
      </c>
      <c r="C378" s="93" t="s">
        <v>363</v>
      </c>
    </row>
    <row r="379" spans="1:3" ht="76.5" x14ac:dyDescent="0.2">
      <c r="A379" s="35">
        <v>45896</v>
      </c>
      <c r="B379" s="73">
        <v>0.39652777777777776</v>
      </c>
      <c r="C379" s="93" t="s">
        <v>363</v>
      </c>
    </row>
    <row r="380" spans="1:3" ht="76.5" x14ac:dyDescent="0.2">
      <c r="A380" s="35">
        <v>45897</v>
      </c>
      <c r="B380" s="73">
        <v>9.25</v>
      </c>
      <c r="C380" s="93" t="s">
        <v>363</v>
      </c>
    </row>
    <row r="381" spans="1:3" ht="25.5" x14ac:dyDescent="0.2">
      <c r="A381" s="35">
        <v>45898</v>
      </c>
      <c r="B381" s="73">
        <v>0.38263888888888886</v>
      </c>
      <c r="C381" s="72" t="s">
        <v>364</v>
      </c>
    </row>
    <row r="382" spans="1:3" ht="25.5" x14ac:dyDescent="0.2">
      <c r="A382" s="35">
        <v>45901</v>
      </c>
      <c r="B382" s="73">
        <v>0.39861111111111114</v>
      </c>
      <c r="C382" s="72" t="s">
        <v>365</v>
      </c>
    </row>
    <row r="383" spans="1:3" x14ac:dyDescent="0.2">
      <c r="A383" s="35">
        <v>45902</v>
      </c>
      <c r="B383" s="73">
        <v>0.36388888888888887</v>
      </c>
      <c r="C383" s="72" t="s">
        <v>154</v>
      </c>
    </row>
    <row r="384" spans="1:3" x14ac:dyDescent="0.2">
      <c r="A384" s="35">
        <v>45903</v>
      </c>
      <c r="B384" s="73">
        <v>0.43263888888888891</v>
      </c>
      <c r="C384" s="72" t="s">
        <v>366</v>
      </c>
    </row>
    <row r="385" spans="1:3" x14ac:dyDescent="0.2">
      <c r="A385" s="35">
        <v>45904</v>
      </c>
      <c r="B385" s="73">
        <v>0.39513888888888887</v>
      </c>
      <c r="C385" s="72" t="s">
        <v>367</v>
      </c>
    </row>
    <row r="386" spans="1:3" x14ac:dyDescent="0.2">
      <c r="A386" s="35">
        <v>45905</v>
      </c>
      <c r="B386" s="73">
        <v>0.37708333333333333</v>
      </c>
      <c r="C386" s="72" t="s">
        <v>368</v>
      </c>
    </row>
    <row r="387" spans="1:3" ht="63.75" x14ac:dyDescent="0.2">
      <c r="A387" s="35">
        <v>45908</v>
      </c>
      <c r="B387" s="73">
        <v>0.3576388888888889</v>
      </c>
      <c r="C387" s="72" t="s">
        <v>369</v>
      </c>
    </row>
    <row r="388" spans="1:3" ht="25.5" x14ac:dyDescent="0.2">
      <c r="A388" s="35">
        <v>45909</v>
      </c>
      <c r="B388" s="73">
        <v>0.39583333333333331</v>
      </c>
      <c r="C388" s="72" t="s">
        <v>370</v>
      </c>
    </row>
    <row r="389" spans="1:3" ht="38.25" x14ac:dyDescent="0.2">
      <c r="A389" s="35">
        <v>45910</v>
      </c>
      <c r="B389" s="73">
        <v>0.37986111111111109</v>
      </c>
      <c r="C389" s="72" t="s">
        <v>371</v>
      </c>
    </row>
    <row r="390" spans="1:3" ht="51" x14ac:dyDescent="0.2">
      <c r="A390" s="35">
        <v>45911</v>
      </c>
      <c r="B390" s="73">
        <v>0.38263888888888886</v>
      </c>
      <c r="C390" s="93" t="s">
        <v>372</v>
      </c>
    </row>
    <row r="391" spans="1:3" ht="51" x14ac:dyDescent="0.2">
      <c r="A391" s="35">
        <v>45912</v>
      </c>
      <c r="B391" s="73">
        <v>0.4201388888888889</v>
      </c>
      <c r="C391" s="72" t="s">
        <v>373</v>
      </c>
    </row>
    <row r="392" spans="1:3" x14ac:dyDescent="0.2">
      <c r="A392" s="35">
        <v>45917</v>
      </c>
      <c r="B392" s="73">
        <v>0.4861111111111111</v>
      </c>
      <c r="C392" s="72" t="s">
        <v>374</v>
      </c>
    </row>
    <row r="393" spans="1:3" x14ac:dyDescent="0.2">
      <c r="A393" s="35">
        <v>45918</v>
      </c>
      <c r="B393" s="73">
        <v>0.41249999999999998</v>
      </c>
      <c r="C393" s="72" t="s">
        <v>375</v>
      </c>
    </row>
    <row r="394" spans="1:3" ht="38.25" x14ac:dyDescent="0.2">
      <c r="A394" s="35">
        <v>45919</v>
      </c>
      <c r="B394" s="73">
        <v>0.38263888888888886</v>
      </c>
      <c r="C394" s="72" t="s">
        <v>376</v>
      </c>
    </row>
    <row r="395" spans="1:3" ht="51" x14ac:dyDescent="0.2">
      <c r="A395" s="35">
        <v>45922</v>
      </c>
      <c r="B395" s="73">
        <v>0.36458333333333331</v>
      </c>
      <c r="C395" s="72" t="s">
        <v>377</v>
      </c>
    </row>
    <row r="396" spans="1:3" ht="51" x14ac:dyDescent="0.2">
      <c r="A396" s="35">
        <v>45923</v>
      </c>
      <c r="B396" s="73">
        <v>0.34097222222222223</v>
      </c>
      <c r="C396" s="72" t="s">
        <v>378</v>
      </c>
    </row>
    <row r="397" spans="1:3" x14ac:dyDescent="0.2">
      <c r="A397" s="35">
        <v>45924</v>
      </c>
      <c r="B397" s="73">
        <v>0.40277777777777779</v>
      </c>
      <c r="C397" s="72" t="s">
        <v>379</v>
      </c>
    </row>
    <row r="398" spans="1:3" ht="25.5" x14ac:dyDescent="0.2">
      <c r="A398" s="35">
        <v>45925</v>
      </c>
      <c r="B398" s="73">
        <v>0.39097222222222222</v>
      </c>
      <c r="C398" s="72" t="s">
        <v>380</v>
      </c>
    </row>
    <row r="399" spans="1:3" x14ac:dyDescent="0.2">
      <c r="A399" s="35">
        <v>45926</v>
      </c>
      <c r="B399" s="73">
        <v>0.38055555555555554</v>
      </c>
      <c r="C399" s="72" t="s">
        <v>381</v>
      </c>
    </row>
    <row r="400" spans="1:3" x14ac:dyDescent="0.2">
      <c r="A400" s="35">
        <v>45929</v>
      </c>
      <c r="B400" s="73">
        <v>0.43888888888888888</v>
      </c>
      <c r="C400" s="72" t="s">
        <v>382</v>
      </c>
    </row>
    <row r="401" spans="1:3" ht="25.5" x14ac:dyDescent="0.2">
      <c r="A401" s="35">
        <v>45930</v>
      </c>
      <c r="B401" s="81">
        <v>10.1</v>
      </c>
      <c r="C401" s="72" t="s">
        <v>383</v>
      </c>
    </row>
    <row r="402" spans="1:3" ht="25.5" x14ac:dyDescent="0.2">
      <c r="A402" s="35">
        <v>45931</v>
      </c>
      <c r="B402" s="73">
        <v>0.40208333333333335</v>
      </c>
      <c r="C402" s="72" t="s">
        <v>384</v>
      </c>
    </row>
    <row r="403" spans="1:3" x14ac:dyDescent="0.2">
      <c r="A403" s="35">
        <v>45932</v>
      </c>
      <c r="B403" s="73">
        <v>0.37152777777777779</v>
      </c>
      <c r="C403" s="72" t="s">
        <v>385</v>
      </c>
    </row>
    <row r="404" spans="1:3" x14ac:dyDescent="0.2">
      <c r="A404" s="35">
        <v>45936</v>
      </c>
      <c r="B404" s="73">
        <v>0.38750000000000001</v>
      </c>
      <c r="C404" s="72" t="s">
        <v>255</v>
      </c>
    </row>
    <row r="405" spans="1:3" x14ac:dyDescent="0.2">
      <c r="A405" s="35">
        <v>45937</v>
      </c>
      <c r="B405" s="73">
        <v>0.38472222222222224</v>
      </c>
      <c r="C405" s="72" t="s">
        <v>255</v>
      </c>
    </row>
    <row r="406" spans="1:3" x14ac:dyDescent="0.2">
      <c r="A406" s="35">
        <v>45938</v>
      </c>
      <c r="B406" s="73">
        <v>0.39513888888888887</v>
      </c>
      <c r="C406" s="72" t="s">
        <v>386</v>
      </c>
    </row>
    <row r="407" spans="1:3" x14ac:dyDescent="0.2">
      <c r="A407" s="35">
        <v>45939</v>
      </c>
      <c r="B407" s="73">
        <v>0.3840277777777778</v>
      </c>
      <c r="C407" s="72" t="s">
        <v>387</v>
      </c>
    </row>
    <row r="408" spans="1:3" x14ac:dyDescent="0.2">
      <c r="A408" s="35">
        <v>45940</v>
      </c>
      <c r="B408" s="73">
        <v>0.39930555555555558</v>
      </c>
      <c r="C408" s="72" t="s">
        <v>387</v>
      </c>
    </row>
    <row r="409" spans="1:3" ht="25.5" x14ac:dyDescent="0.2">
      <c r="A409" s="35">
        <v>45943</v>
      </c>
      <c r="B409" s="73">
        <v>0.39444444444444443</v>
      </c>
      <c r="C409" s="72" t="s">
        <v>388</v>
      </c>
    </row>
    <row r="410" spans="1:3" ht="51" x14ac:dyDescent="0.2">
      <c r="A410" s="35">
        <v>45944</v>
      </c>
      <c r="B410" s="73">
        <v>0.39652777777777776</v>
      </c>
      <c r="C410" s="93" t="s">
        <v>389</v>
      </c>
    </row>
    <row r="411" spans="1:3" ht="25.5" x14ac:dyDescent="0.2">
      <c r="A411" s="35">
        <v>45945</v>
      </c>
      <c r="B411" s="73">
        <v>0.38750000000000001</v>
      </c>
      <c r="C411" s="72" t="s">
        <v>390</v>
      </c>
    </row>
    <row r="412" spans="1:3" x14ac:dyDescent="0.2">
      <c r="A412" s="35">
        <v>45946</v>
      </c>
      <c r="B412" s="73">
        <v>0.37430555555555556</v>
      </c>
      <c r="C412" s="72" t="s">
        <v>391</v>
      </c>
    </row>
    <row r="413" spans="1:3" x14ac:dyDescent="0.2">
      <c r="A413" s="35">
        <v>45947</v>
      </c>
      <c r="B413" s="73">
        <v>0.44722222222222224</v>
      </c>
      <c r="C413" s="72" t="s">
        <v>392</v>
      </c>
    </row>
    <row r="414" spans="1:3" ht="63.75" x14ac:dyDescent="0.2">
      <c r="A414" s="35">
        <v>45950</v>
      </c>
      <c r="B414" s="73">
        <v>0.37222222222222223</v>
      </c>
      <c r="C414" s="72" t="s">
        <v>393</v>
      </c>
    </row>
    <row r="415" spans="1:3" ht="63.75" x14ac:dyDescent="0.2">
      <c r="A415" s="35">
        <v>45951</v>
      </c>
      <c r="B415" s="73">
        <v>0.43680555555555556</v>
      </c>
      <c r="C415" s="72" t="s">
        <v>394</v>
      </c>
    </row>
    <row r="416" spans="1:3" x14ac:dyDescent="0.2">
      <c r="B416" s="73">
        <v>0.72152777777777777</v>
      </c>
      <c r="C416" s="72" t="s">
        <v>395</v>
      </c>
    </row>
    <row r="417" spans="1:3" x14ac:dyDescent="0.2">
      <c r="A417" s="35">
        <v>45952</v>
      </c>
      <c r="B417" s="73">
        <v>0.38472222222222224</v>
      </c>
      <c r="C417" s="72" t="s">
        <v>396</v>
      </c>
    </row>
    <row r="418" spans="1:3" x14ac:dyDescent="0.2">
      <c r="A418" s="35">
        <v>45953</v>
      </c>
      <c r="B418" s="73">
        <v>0.39513888888888887</v>
      </c>
      <c r="C418" s="72" t="s">
        <v>396</v>
      </c>
    </row>
    <row r="419" spans="1:3" x14ac:dyDescent="0.2">
      <c r="A419" s="35">
        <v>45957</v>
      </c>
      <c r="B419" s="73">
        <v>0.4152777777777778</v>
      </c>
      <c r="C419" s="72" t="s">
        <v>396</v>
      </c>
    </row>
    <row r="420" spans="1:3" x14ac:dyDescent="0.2">
      <c r="A420" s="35">
        <v>45958</v>
      </c>
      <c r="B420" s="73">
        <v>0.38194444444444442</v>
      </c>
      <c r="C420" s="72" t="s">
        <v>396</v>
      </c>
    </row>
    <row r="421" spans="1:3" x14ac:dyDescent="0.2">
      <c r="A421" s="35">
        <v>45959</v>
      </c>
      <c r="B421" s="73">
        <v>0.44722222222222224</v>
      </c>
      <c r="C421" s="72" t="s">
        <v>397</v>
      </c>
    </row>
    <row r="422" spans="1:3" x14ac:dyDescent="0.2">
      <c r="A422" s="35">
        <v>45960</v>
      </c>
      <c r="B422" s="73">
        <v>0.39583333333333331</v>
      </c>
      <c r="C422" s="72" t="s">
        <v>398</v>
      </c>
    </row>
    <row r="423" spans="1:3" x14ac:dyDescent="0.2">
      <c r="A423" s="35">
        <v>45961</v>
      </c>
      <c r="B423" s="73">
        <v>0.50555555555555554</v>
      </c>
      <c r="C423" s="72" t="s">
        <v>399</v>
      </c>
    </row>
    <row r="424" spans="1:3" x14ac:dyDescent="0.2">
      <c r="A424" s="35">
        <v>45964</v>
      </c>
      <c r="B424" s="73">
        <v>0.40138888888888891</v>
      </c>
      <c r="C424" s="72" t="s">
        <v>400</v>
      </c>
    </row>
    <row r="425" spans="1:3" ht="51" x14ac:dyDescent="0.2">
      <c r="A425" s="35">
        <v>45965</v>
      </c>
      <c r="B425" s="73">
        <v>0.4201388888888889</v>
      </c>
      <c r="C425" s="72" t="s">
        <v>401</v>
      </c>
    </row>
    <row r="426" spans="1:3" x14ac:dyDescent="0.2">
      <c r="A426" s="35">
        <v>45966</v>
      </c>
      <c r="B426" s="73">
        <v>0.42222222222222222</v>
      </c>
      <c r="C426" s="72" t="s">
        <v>402</v>
      </c>
    </row>
    <row r="427" spans="1:3" x14ac:dyDescent="0.2">
      <c r="A427" s="35">
        <v>45967</v>
      </c>
      <c r="B427" s="73">
        <v>0.37638888888888888</v>
      </c>
      <c r="C427" s="72" t="s">
        <v>403</v>
      </c>
    </row>
    <row r="428" spans="1:3" x14ac:dyDescent="0.2">
      <c r="A428" s="35">
        <v>45968</v>
      </c>
      <c r="B428" s="73">
        <v>0.44930555555555557</v>
      </c>
      <c r="C428" s="72" t="s">
        <v>299</v>
      </c>
    </row>
    <row r="429" spans="1:3" x14ac:dyDescent="0.2">
      <c r="A429" s="35">
        <v>45971</v>
      </c>
      <c r="B429" s="73">
        <v>0.42152777777777778</v>
      </c>
      <c r="C429" s="72" t="s">
        <v>404</v>
      </c>
    </row>
    <row r="430" spans="1:3" x14ac:dyDescent="0.2">
      <c r="A430" s="35">
        <v>45972</v>
      </c>
      <c r="B430" s="73">
        <v>0.40625</v>
      </c>
      <c r="C430" s="72" t="s">
        <v>405</v>
      </c>
    </row>
    <row r="431" spans="1:3" x14ac:dyDescent="0.2">
      <c r="A431" s="35">
        <v>45973</v>
      </c>
      <c r="B431" s="73">
        <v>0.38263888888888886</v>
      </c>
      <c r="C431" s="72" t="s">
        <v>406</v>
      </c>
    </row>
    <row r="432" spans="1:3" x14ac:dyDescent="0.2">
      <c r="A432" s="35">
        <v>45974</v>
      </c>
      <c r="B432" s="73">
        <v>0.38750000000000001</v>
      </c>
      <c r="C432" s="72" t="s">
        <v>407</v>
      </c>
    </row>
    <row r="433" spans="1:3" ht="25.5" x14ac:dyDescent="0.2">
      <c r="A433" s="35">
        <v>45975</v>
      </c>
      <c r="B433" s="73">
        <v>0.40486111111111112</v>
      </c>
      <c r="C433" s="72" t="s">
        <v>408</v>
      </c>
    </row>
    <row r="434" spans="1:3" ht="51" x14ac:dyDescent="0.2">
      <c r="A434" s="35">
        <v>45979</v>
      </c>
      <c r="B434" s="73">
        <v>0.37986111111111109</v>
      </c>
      <c r="C434" s="72" t="s">
        <v>409</v>
      </c>
    </row>
    <row r="435" spans="1:3" ht="25.5" x14ac:dyDescent="0.2">
      <c r="A435" s="35">
        <v>45980</v>
      </c>
      <c r="B435" s="73">
        <v>0.36388888888888887</v>
      </c>
      <c r="C435" s="93" t="s">
        <v>410</v>
      </c>
    </row>
    <row r="436" spans="1:3" ht="25.5" x14ac:dyDescent="0.2">
      <c r="A436" s="35">
        <v>45981</v>
      </c>
      <c r="B436" s="73">
        <v>0.37777777777777777</v>
      </c>
      <c r="C436" s="72" t="s">
        <v>411</v>
      </c>
    </row>
    <row r="437" spans="1:3" ht="63.75" x14ac:dyDescent="0.2">
      <c r="A437" s="35">
        <v>45982</v>
      </c>
      <c r="B437" s="73">
        <v>0.37708333333333333</v>
      </c>
      <c r="C437" s="93" t="s">
        <v>412</v>
      </c>
    </row>
    <row r="438" spans="1:3" x14ac:dyDescent="0.2">
      <c r="A438" s="35">
        <v>45985</v>
      </c>
      <c r="B438" s="73">
        <v>0.3972222222222222</v>
      </c>
      <c r="C438" s="72" t="s">
        <v>413</v>
      </c>
    </row>
    <row r="439" spans="1:3" x14ac:dyDescent="0.2">
      <c r="A439" s="35">
        <v>45986</v>
      </c>
      <c r="B439" s="73">
        <v>0.39027777777777778</v>
      </c>
      <c r="C439" s="72" t="s">
        <v>254</v>
      </c>
    </row>
    <row r="440" spans="1:3" x14ac:dyDescent="0.2">
      <c r="A440" s="35">
        <v>45987</v>
      </c>
      <c r="B440" s="73">
        <v>0.3923611111111111</v>
      </c>
      <c r="C440" s="72" t="s">
        <v>254</v>
      </c>
    </row>
    <row r="441" spans="1:3" x14ac:dyDescent="0.2">
      <c r="A441" s="35">
        <v>45988</v>
      </c>
      <c r="B441" s="73">
        <v>0.44097222222222221</v>
      </c>
      <c r="C441" s="72" t="s">
        <v>254</v>
      </c>
    </row>
    <row r="442" spans="1:3" x14ac:dyDescent="0.2">
      <c r="A442" s="35">
        <v>45989</v>
      </c>
      <c r="B442" s="73">
        <v>0.4201388888888889</v>
      </c>
      <c r="C442" s="72" t="s">
        <v>254</v>
      </c>
    </row>
    <row r="443" spans="1:3" x14ac:dyDescent="0.2">
      <c r="A443" s="35">
        <v>45992</v>
      </c>
      <c r="B443" s="73">
        <v>0.38055555555555554</v>
      </c>
      <c r="C443" s="72" t="s">
        <v>414</v>
      </c>
    </row>
    <row r="444" spans="1:3" x14ac:dyDescent="0.2">
      <c r="A444" s="35">
        <v>45993</v>
      </c>
      <c r="B444" s="73">
        <v>0.40555555555555556</v>
      </c>
      <c r="C444" s="72" t="s">
        <v>414</v>
      </c>
    </row>
    <row r="445" spans="1:3" x14ac:dyDescent="0.2">
      <c r="A445" s="35">
        <v>45994</v>
      </c>
      <c r="B445" s="73">
        <v>0.39930555555555558</v>
      </c>
      <c r="C445" s="72" t="s">
        <v>415</v>
      </c>
    </row>
    <row r="446" spans="1:3" ht="38.25" x14ac:dyDescent="0.2">
      <c r="A446" s="35">
        <v>45995</v>
      </c>
      <c r="B446" s="73">
        <v>0.44444444444444442</v>
      </c>
      <c r="C446" s="72" t="s">
        <v>416</v>
      </c>
    </row>
    <row r="447" spans="1:3" ht="38.25" x14ac:dyDescent="0.2">
      <c r="A447" s="35">
        <v>45996</v>
      </c>
      <c r="B447" s="73">
        <v>0.43194444444444446</v>
      </c>
      <c r="C447" s="72" t="s">
        <v>417</v>
      </c>
    </row>
    <row r="448" spans="1:3" ht="25.5" x14ac:dyDescent="0.2">
      <c r="A448" s="35">
        <v>45999</v>
      </c>
      <c r="B448" s="73">
        <v>0.39374999999999999</v>
      </c>
      <c r="C448" s="72" t="s">
        <v>418</v>
      </c>
    </row>
    <row r="449" spans="1:3" x14ac:dyDescent="0.2">
      <c r="B449" s="73">
        <v>0.55972222222222223</v>
      </c>
      <c r="C449" s="72" t="s">
        <v>419</v>
      </c>
    </row>
    <row r="450" spans="1:3" x14ac:dyDescent="0.2">
      <c r="A450" s="35">
        <v>46000</v>
      </c>
      <c r="B450" s="73">
        <v>0.3923611111111111</v>
      </c>
      <c r="C450" s="72" t="s">
        <v>420</v>
      </c>
    </row>
    <row r="451" spans="1:3" x14ac:dyDescent="0.2">
      <c r="A451" s="35">
        <v>46001</v>
      </c>
      <c r="B451" s="73">
        <v>0.42152777777777778</v>
      </c>
      <c r="C451" s="72" t="s">
        <v>420</v>
      </c>
    </row>
    <row r="452" spans="1:3" x14ac:dyDescent="0.2">
      <c r="A452" s="35">
        <v>46002</v>
      </c>
      <c r="B452" s="73">
        <v>0.39097222222222222</v>
      </c>
      <c r="C452" s="72" t="s">
        <v>420</v>
      </c>
    </row>
    <row r="453" spans="1:3" x14ac:dyDescent="0.2">
      <c r="A453" s="35">
        <v>46003</v>
      </c>
      <c r="B453" s="73">
        <v>0.39305555555555555</v>
      </c>
      <c r="C453" s="72" t="s">
        <v>420</v>
      </c>
    </row>
    <row r="454" spans="1:3" x14ac:dyDescent="0.2">
      <c r="A454" s="35">
        <v>46006</v>
      </c>
      <c r="B454" s="73">
        <v>0.38750000000000001</v>
      </c>
      <c r="C454" s="72" t="s">
        <v>421</v>
      </c>
    </row>
    <row r="455" spans="1:3" x14ac:dyDescent="0.2">
      <c r="A455" s="35">
        <v>46007</v>
      </c>
      <c r="B455" s="73">
        <v>0.40902777777777777</v>
      </c>
      <c r="C455" s="72" t="s">
        <v>422</v>
      </c>
    </row>
    <row r="456" spans="1:3" x14ac:dyDescent="0.2">
      <c r="A456" s="35">
        <v>46008</v>
      </c>
      <c r="B456" s="73">
        <v>0.43541666666666667</v>
      </c>
      <c r="C456" s="72" t="s">
        <v>422</v>
      </c>
    </row>
    <row r="457" spans="1:3" x14ac:dyDescent="0.2">
      <c r="A457" s="35">
        <v>46009</v>
      </c>
      <c r="B457" s="73">
        <v>0.41597222222222224</v>
      </c>
      <c r="C457" s="72" t="s">
        <v>422</v>
      </c>
    </row>
    <row r="458" spans="1:3" x14ac:dyDescent="0.2">
      <c r="A458" s="35">
        <v>46010</v>
      </c>
      <c r="B458" s="73">
        <v>0.39652777777777776</v>
      </c>
      <c r="C458" s="72" t="s">
        <v>422</v>
      </c>
    </row>
    <row r="459" spans="1:3" x14ac:dyDescent="0.2">
      <c r="A459" s="35">
        <v>46013</v>
      </c>
      <c r="B459" s="73">
        <v>0.41736111111111113</v>
      </c>
      <c r="C459" s="72" t="s">
        <v>422</v>
      </c>
    </row>
    <row r="460" spans="1:3" x14ac:dyDescent="0.2">
      <c r="A460" s="35">
        <v>46014</v>
      </c>
      <c r="B460" s="81">
        <v>9.2200000000000006</v>
      </c>
      <c r="C460" s="72" t="s">
        <v>422</v>
      </c>
    </row>
    <row r="461" spans="1:3" x14ac:dyDescent="0.2">
      <c r="A461" s="35">
        <v>46017</v>
      </c>
      <c r="B461" s="73">
        <v>0.43888888888888888</v>
      </c>
      <c r="C461" s="72" t="s">
        <v>423</v>
      </c>
    </row>
    <row r="462" spans="1:3" ht="38.25" x14ac:dyDescent="0.2">
      <c r="A462" s="35">
        <v>46020</v>
      </c>
      <c r="B462" s="73">
        <v>0.36319444444444443</v>
      </c>
      <c r="C462" s="72" t="s">
        <v>424</v>
      </c>
    </row>
    <row r="463" spans="1:3" ht="51" x14ac:dyDescent="0.2">
      <c r="A463" s="35">
        <v>46021</v>
      </c>
      <c r="B463" s="73">
        <v>0.42916666666666664</v>
      </c>
      <c r="C463" s="72" t="s">
        <v>425</v>
      </c>
    </row>
    <row r="464" spans="1:3" ht="38.25" x14ac:dyDescent="0.2">
      <c r="A464" s="35">
        <v>46027</v>
      </c>
      <c r="B464" s="73">
        <v>0.41736111111111113</v>
      </c>
      <c r="C464" s="72" t="s">
        <v>426</v>
      </c>
    </row>
    <row r="465" spans="1:3" x14ac:dyDescent="0.2">
      <c r="A465" s="35">
        <v>46028</v>
      </c>
      <c r="B465" s="73">
        <v>0.34861111111111109</v>
      </c>
      <c r="C465" s="72" t="s">
        <v>154</v>
      </c>
    </row>
    <row r="466" spans="1:3" x14ac:dyDescent="0.2">
      <c r="A466" s="35">
        <v>46029</v>
      </c>
      <c r="B466" s="73">
        <v>0.44444444444444442</v>
      </c>
      <c r="C466" s="72" t="s">
        <v>427</v>
      </c>
    </row>
    <row r="467" spans="1:3" x14ac:dyDescent="0.2">
      <c r="A467" s="35">
        <v>46030</v>
      </c>
      <c r="B467" s="73">
        <v>0.49236111111111114</v>
      </c>
      <c r="C467" s="72" t="s">
        <v>427</v>
      </c>
    </row>
    <row r="468" spans="1:3" x14ac:dyDescent="0.2">
      <c r="A468" s="35">
        <v>46031</v>
      </c>
      <c r="B468" s="73">
        <v>0.37083333333333335</v>
      </c>
      <c r="C468" s="72" t="s">
        <v>427</v>
      </c>
    </row>
    <row r="469" spans="1:3" x14ac:dyDescent="0.2">
      <c r="A469" s="35">
        <v>46034</v>
      </c>
      <c r="B469" s="73">
        <v>0.39513888888888887</v>
      </c>
      <c r="C469" s="72" t="s">
        <v>427</v>
      </c>
    </row>
    <row r="470" spans="1:3" x14ac:dyDescent="0.2">
      <c r="A470" s="35">
        <v>46035</v>
      </c>
      <c r="B470" s="73">
        <v>0.41249999999999998</v>
      </c>
      <c r="C470" s="72" t="s">
        <v>427</v>
      </c>
    </row>
    <row r="471" spans="1:3" x14ac:dyDescent="0.2">
      <c r="A471" s="35">
        <v>46036</v>
      </c>
      <c r="B471" s="73">
        <v>0.38819444444444445</v>
      </c>
      <c r="C471" s="72" t="s">
        <v>427</v>
      </c>
    </row>
    <row r="472" spans="1:3" x14ac:dyDescent="0.2">
      <c r="A472" s="35">
        <v>46037</v>
      </c>
      <c r="B472" s="81">
        <v>9.4700000000000006</v>
      </c>
      <c r="C472" s="72" t="s">
        <v>427</v>
      </c>
    </row>
    <row r="473" spans="1:3" x14ac:dyDescent="0.2">
      <c r="A473" s="35">
        <v>46038</v>
      </c>
      <c r="B473" s="73">
        <v>0.40486111111111112</v>
      </c>
      <c r="C473" s="72" t="s">
        <v>427</v>
      </c>
    </row>
    <row r="474" spans="1:3" x14ac:dyDescent="0.2">
      <c r="A474" s="35">
        <v>46041</v>
      </c>
      <c r="B474" s="73">
        <v>0.42708333333333331</v>
      </c>
      <c r="C474" s="72" t="s">
        <v>427</v>
      </c>
    </row>
    <row r="475" spans="1:3" x14ac:dyDescent="0.2">
      <c r="A475" s="35">
        <v>46042</v>
      </c>
      <c r="B475" s="73">
        <v>0.43819444444444444</v>
      </c>
      <c r="C475" s="72" t="s">
        <v>427</v>
      </c>
    </row>
    <row r="476" spans="1:3" x14ac:dyDescent="0.2">
      <c r="A476" s="35">
        <v>46043</v>
      </c>
      <c r="B476" s="73">
        <v>0.43680555555555556</v>
      </c>
      <c r="C476" s="72" t="s">
        <v>428</v>
      </c>
    </row>
    <row r="477" spans="1:3" x14ac:dyDescent="0.2">
      <c r="A477" s="35">
        <v>46044</v>
      </c>
      <c r="B477" s="73">
        <v>0.38750000000000001</v>
      </c>
      <c r="C477" s="72" t="s">
        <v>422</v>
      </c>
    </row>
    <row r="478" spans="1:3" x14ac:dyDescent="0.2">
      <c r="A478" s="35">
        <v>46045</v>
      </c>
      <c r="B478" s="73">
        <v>0.42777777777777776</v>
      </c>
      <c r="C478" s="72" t="s">
        <v>429</v>
      </c>
    </row>
    <row r="479" spans="1:3" x14ac:dyDescent="0.2">
      <c r="A479" s="35">
        <v>46048</v>
      </c>
      <c r="B479" s="73">
        <v>0.43680555555555556</v>
      </c>
      <c r="C479" s="72" t="s">
        <v>430</v>
      </c>
    </row>
    <row r="480" spans="1:3" x14ac:dyDescent="0.2">
      <c r="A480" s="35">
        <v>46049</v>
      </c>
      <c r="B480" s="81">
        <v>9.59</v>
      </c>
      <c r="C480" s="72" t="s">
        <v>431</v>
      </c>
    </row>
    <row r="481" spans="1:3" ht="38.25" x14ac:dyDescent="0.2">
      <c r="A481" s="35">
        <v>46050</v>
      </c>
      <c r="B481" s="73">
        <v>0.38680555555555557</v>
      </c>
      <c r="C481" s="93" t="s">
        <v>432</v>
      </c>
    </row>
    <row r="482" spans="1:3" ht="76.5" x14ac:dyDescent="0.2">
      <c r="A482" s="35">
        <v>46051</v>
      </c>
      <c r="B482" s="73">
        <v>0.41249999999999998</v>
      </c>
      <c r="C482" s="72" t="s">
        <v>433</v>
      </c>
    </row>
    <row r="483" spans="1:3" ht="25.5" x14ac:dyDescent="0.2">
      <c r="A483" s="35">
        <v>46052</v>
      </c>
      <c r="B483" s="73">
        <v>0.36875000000000002</v>
      </c>
      <c r="C483" s="99" t="s">
        <v>434</v>
      </c>
    </row>
    <row r="484" spans="1:3" x14ac:dyDescent="0.2">
      <c r="A484" s="35">
        <v>46057</v>
      </c>
      <c r="B484" s="73">
        <v>0.36736111111111114</v>
      </c>
      <c r="C484" s="72" t="s">
        <v>154</v>
      </c>
    </row>
    <row r="485" spans="1:3" x14ac:dyDescent="0.2">
      <c r="A485" s="35">
        <v>46058</v>
      </c>
      <c r="B485" s="73">
        <v>0.44861111111111113</v>
      </c>
      <c r="C485" s="72" t="s">
        <v>435</v>
      </c>
    </row>
    <row r="486" spans="1:3" x14ac:dyDescent="0.2">
      <c r="A486" s="35">
        <v>46059</v>
      </c>
      <c r="B486" s="73">
        <v>0.39444444444444443</v>
      </c>
      <c r="C486" s="72" t="s">
        <v>435</v>
      </c>
    </row>
    <row r="487" spans="1:3" x14ac:dyDescent="0.2">
      <c r="A487" s="35">
        <v>46062</v>
      </c>
      <c r="B487" s="73">
        <v>0.38541666666666669</v>
      </c>
      <c r="C487" s="72" t="s">
        <v>435</v>
      </c>
    </row>
    <row r="488" spans="1:3" x14ac:dyDescent="0.2">
      <c r="A488" s="35">
        <v>46063</v>
      </c>
      <c r="B488" s="73">
        <v>0.46458333333333335</v>
      </c>
      <c r="C488" s="72" t="s">
        <v>435</v>
      </c>
    </row>
    <row r="489" spans="1:3" x14ac:dyDescent="0.2">
      <c r="A489" s="35">
        <v>46064</v>
      </c>
      <c r="B489" s="73">
        <v>0.47569444444444442</v>
      </c>
      <c r="C489" s="72" t="s">
        <v>435</v>
      </c>
    </row>
    <row r="490" spans="1:3" x14ac:dyDescent="0.2">
      <c r="A490" s="35">
        <v>46065</v>
      </c>
      <c r="B490" s="73">
        <v>0.47847222222222224</v>
      </c>
      <c r="C490" s="72" t="s">
        <v>435</v>
      </c>
    </row>
    <row r="491" spans="1:3" x14ac:dyDescent="0.2">
      <c r="A491" s="35">
        <v>46066</v>
      </c>
      <c r="B491" s="73">
        <v>0.4597222222222222</v>
      </c>
      <c r="C491" s="72" t="s">
        <v>435</v>
      </c>
    </row>
    <row r="492" spans="1:3" ht="25.5" x14ac:dyDescent="0.2">
      <c r="A492" s="35">
        <v>46069</v>
      </c>
      <c r="B492" s="73">
        <v>0.39583333333333331</v>
      </c>
      <c r="C492" s="72" t="s">
        <v>436</v>
      </c>
    </row>
    <row r="493" spans="1:3" x14ac:dyDescent="0.2">
      <c r="A493" s="35">
        <v>46070</v>
      </c>
      <c r="B493" s="73">
        <v>0.42916666666666664</v>
      </c>
      <c r="C493" s="72" t="s">
        <v>437</v>
      </c>
    </row>
    <row r="494" spans="1:3" x14ac:dyDescent="0.2">
      <c r="A494" s="35">
        <v>46071</v>
      </c>
      <c r="B494" s="73">
        <v>0.44236111111111109</v>
      </c>
      <c r="C494" s="72" t="s">
        <v>437</v>
      </c>
    </row>
    <row r="495" spans="1:3" x14ac:dyDescent="0.2">
      <c r="A495" s="35">
        <v>46072</v>
      </c>
      <c r="B495" s="73">
        <v>0.42430555555555555</v>
      </c>
      <c r="C495" s="72" t="s">
        <v>438</v>
      </c>
    </row>
    <row r="496" spans="1:3" x14ac:dyDescent="0.2">
      <c r="A496" s="35">
        <v>46073</v>
      </c>
      <c r="B496" s="73">
        <v>0.41111111111111109</v>
      </c>
      <c r="C496" s="72" t="s">
        <v>437</v>
      </c>
    </row>
    <row r="497" spans="1:3" ht="38.25" x14ac:dyDescent="0.2">
      <c r="A497" s="35">
        <v>46076</v>
      </c>
      <c r="B497" s="73">
        <v>0.40277777777777779</v>
      </c>
      <c r="C497" s="72" t="s">
        <v>439</v>
      </c>
    </row>
    <row r="498" spans="1:3" ht="25.5" x14ac:dyDescent="0.2">
      <c r="A498" s="35">
        <v>46077</v>
      </c>
      <c r="B498" s="73">
        <v>0.41111111111111109</v>
      </c>
      <c r="C498" s="72" t="s">
        <v>440</v>
      </c>
    </row>
    <row r="499" spans="1:3" ht="63.75" x14ac:dyDescent="0.2">
      <c r="A499" s="35">
        <v>46078</v>
      </c>
      <c r="B499" s="73">
        <v>0.41666666666666669</v>
      </c>
      <c r="C499" s="72" t="s">
        <v>441</v>
      </c>
    </row>
    <row r="500" spans="1:3" ht="38.25" x14ac:dyDescent="0.2">
      <c r="A500" s="35">
        <v>46079</v>
      </c>
      <c r="B500" s="73">
        <v>0.41249999999999998</v>
      </c>
      <c r="C500" s="72" t="s">
        <v>442</v>
      </c>
    </row>
    <row r="501" spans="1:3" ht="51" x14ac:dyDescent="0.2">
      <c r="A501" s="35">
        <v>46080</v>
      </c>
      <c r="B501" s="81" t="s">
        <v>444</v>
      </c>
      <c r="C501" s="72" t="s">
        <v>443</v>
      </c>
    </row>
    <row r="502" spans="1:3" x14ac:dyDescent="0.2">
      <c r="A502" s="35">
        <v>46083</v>
      </c>
      <c r="B502" s="73">
        <v>0.40277777777777779</v>
      </c>
      <c r="C502" s="72" t="s">
        <v>445</v>
      </c>
    </row>
    <row r="503" spans="1:3" x14ac:dyDescent="0.2">
      <c r="A503" s="35">
        <v>46084</v>
      </c>
      <c r="B503" s="73">
        <v>0.39097222222222222</v>
      </c>
      <c r="C503" s="72" t="s">
        <v>446</v>
      </c>
    </row>
    <row r="504" spans="1:3" x14ac:dyDescent="0.2">
      <c r="A504" s="35">
        <v>46085</v>
      </c>
      <c r="B504" s="73">
        <v>0.40416666666666667</v>
      </c>
      <c r="C504" s="72" t="s">
        <v>447</v>
      </c>
    </row>
    <row r="505" spans="1:3" ht="25.5" x14ac:dyDescent="0.2">
      <c r="A505" s="35">
        <v>46086</v>
      </c>
      <c r="B505" s="73">
        <v>0.37013888888888891</v>
      </c>
      <c r="C505" s="72" t="s">
        <v>448</v>
      </c>
    </row>
    <row r="506" spans="1:3" ht="51" x14ac:dyDescent="0.2">
      <c r="A506" s="35">
        <v>46087</v>
      </c>
      <c r="B506" s="73">
        <v>0.39652777777777776</v>
      </c>
      <c r="C506" s="93" t="s">
        <v>449</v>
      </c>
    </row>
    <row r="507" spans="1:3" x14ac:dyDescent="0.2">
      <c r="A507" s="35">
        <v>46090</v>
      </c>
      <c r="B507" s="73">
        <v>0.38124999999999998</v>
      </c>
      <c r="C507" s="72" t="s">
        <v>450</v>
      </c>
    </row>
    <row r="508" spans="1:3" x14ac:dyDescent="0.2">
      <c r="A508" s="35">
        <v>46091</v>
      </c>
      <c r="B508" s="73">
        <v>0.41736111111111113</v>
      </c>
      <c r="C508" s="72" t="s">
        <v>451</v>
      </c>
    </row>
    <row r="509" spans="1:3" x14ac:dyDescent="0.2">
      <c r="A509" s="35">
        <v>46092</v>
      </c>
      <c r="B509" s="73">
        <v>0.41319444444444442</v>
      </c>
      <c r="C509" s="72" t="s">
        <v>451</v>
      </c>
    </row>
    <row r="510" spans="1:3" x14ac:dyDescent="0.2">
      <c r="A510" s="35">
        <v>46093</v>
      </c>
      <c r="B510" s="73">
        <v>0.41875000000000001</v>
      </c>
      <c r="C510" s="72" t="s">
        <v>451</v>
      </c>
    </row>
    <row r="511" spans="1:3" x14ac:dyDescent="0.2">
      <c r="A511" s="35">
        <v>46094</v>
      </c>
      <c r="B511" s="73">
        <v>0.39305555555555555</v>
      </c>
      <c r="C511" s="72" t="s">
        <v>451</v>
      </c>
    </row>
    <row r="512" spans="1:3" x14ac:dyDescent="0.2">
      <c r="A512" s="35">
        <v>46098</v>
      </c>
      <c r="B512" s="73">
        <v>0.41319444444444442</v>
      </c>
      <c r="C512" s="72" t="s">
        <v>451</v>
      </c>
    </row>
    <row r="513" spans="1:3" x14ac:dyDescent="0.2">
      <c r="A513" s="35">
        <v>46099</v>
      </c>
      <c r="B513" s="73">
        <v>0.37638888888888888</v>
      </c>
      <c r="C513" s="72" t="s">
        <v>451</v>
      </c>
    </row>
    <row r="514" spans="1:3" x14ac:dyDescent="0.2">
      <c r="A514" s="35">
        <v>46100</v>
      </c>
      <c r="B514" s="73">
        <v>0.43472222222222223</v>
      </c>
      <c r="C514" s="72" t="s">
        <v>451</v>
      </c>
    </row>
    <row r="515" spans="1:3" x14ac:dyDescent="0.2">
      <c r="A515" s="35">
        <v>46101</v>
      </c>
      <c r="B515" s="73">
        <v>0.39861111111111114</v>
      </c>
      <c r="C515" s="72" t="s">
        <v>451</v>
      </c>
    </row>
    <row r="516" spans="1:3" x14ac:dyDescent="0.2">
      <c r="A516" s="35">
        <v>46104</v>
      </c>
      <c r="B516" s="73">
        <v>0.46875</v>
      </c>
      <c r="C516" s="72" t="s">
        <v>452</v>
      </c>
    </row>
    <row r="517" spans="1:3" ht="38.25" x14ac:dyDescent="0.2">
      <c r="A517" s="35">
        <v>46105</v>
      </c>
      <c r="B517" s="73">
        <v>0.44930555555555557</v>
      </c>
      <c r="C517" s="93" t="s">
        <v>453</v>
      </c>
    </row>
    <row r="518" spans="1:3" x14ac:dyDescent="0.2">
      <c r="A518" s="35">
        <v>46106</v>
      </c>
      <c r="B518" s="73">
        <v>0.43055555555555558</v>
      </c>
      <c r="C518" s="72" t="s">
        <v>454</v>
      </c>
    </row>
    <row r="519" spans="1:3" x14ac:dyDescent="0.2">
      <c r="A519" s="35">
        <v>46107</v>
      </c>
      <c r="B519" s="73">
        <v>0.40694444444444444</v>
      </c>
      <c r="C519" s="72" t="s">
        <v>455</v>
      </c>
    </row>
    <row r="520" spans="1:3" ht="51" x14ac:dyDescent="0.2">
      <c r="A520" s="35">
        <v>46108</v>
      </c>
      <c r="B520" s="73">
        <v>0.39930555555555558</v>
      </c>
      <c r="C520" s="93" t="s">
        <v>456</v>
      </c>
    </row>
    <row r="521" spans="1:3" x14ac:dyDescent="0.2">
      <c r="A521" s="35">
        <v>46112</v>
      </c>
      <c r="B521" s="73">
        <v>0.50347222222222221</v>
      </c>
      <c r="C521" s="71" t="s">
        <v>154</v>
      </c>
    </row>
    <row r="522" spans="1:3" x14ac:dyDescent="0.2">
      <c r="A522" s="35">
        <v>46118</v>
      </c>
      <c r="B522" s="73">
        <v>0.50416666666666665</v>
      </c>
      <c r="C522" s="71" t="s">
        <v>254</v>
      </c>
    </row>
    <row r="523" spans="1:3" x14ac:dyDescent="0.2">
      <c r="A523" s="35">
        <v>46119</v>
      </c>
      <c r="B523" s="73">
        <v>0.3840277777777778</v>
      </c>
      <c r="C523" s="71" t="s">
        <v>254</v>
      </c>
    </row>
    <row r="524" spans="1:3" x14ac:dyDescent="0.2">
      <c r="A524" s="35">
        <v>46120</v>
      </c>
      <c r="B524" s="73">
        <v>0.40555555555555556</v>
      </c>
      <c r="C524" s="71" t="s">
        <v>254</v>
      </c>
    </row>
    <row r="525" spans="1:3" x14ac:dyDescent="0.2">
      <c r="A525" s="35">
        <v>46121</v>
      </c>
      <c r="B525" s="73">
        <v>10.47</v>
      </c>
      <c r="C525" s="71" t="s">
        <v>254</v>
      </c>
    </row>
    <row r="526" spans="1:3" x14ac:dyDescent="0.2">
      <c r="A526" s="35">
        <v>46122</v>
      </c>
      <c r="B526" s="73">
        <v>0.38750000000000001</v>
      </c>
      <c r="C526" s="71" t="s">
        <v>254</v>
      </c>
    </row>
    <row r="527" spans="1:3" x14ac:dyDescent="0.2">
      <c r="A527" s="35">
        <v>46125</v>
      </c>
      <c r="B527" s="73">
        <v>0.40972222222222221</v>
      </c>
      <c r="C527" s="72" t="s">
        <v>457</v>
      </c>
    </row>
    <row r="528" spans="1:3" x14ac:dyDescent="0.2">
      <c r="A528" s="35">
        <v>46126</v>
      </c>
      <c r="B528" s="73">
        <v>0.38750000000000001</v>
      </c>
      <c r="C528" s="72" t="s">
        <v>280</v>
      </c>
    </row>
    <row r="529" spans="1:3" x14ac:dyDescent="0.2">
      <c r="A529" s="35">
        <v>46127</v>
      </c>
      <c r="B529" s="73">
        <v>0.39861111111111114</v>
      </c>
      <c r="C529" s="72" t="s">
        <v>458</v>
      </c>
    </row>
    <row r="530" spans="1:3" x14ac:dyDescent="0.2">
      <c r="A530" s="35">
        <v>46128</v>
      </c>
      <c r="B530" s="73">
        <v>0.41458333333333336</v>
      </c>
      <c r="C530" s="72" t="s">
        <v>459</v>
      </c>
    </row>
    <row r="531" spans="1:3" ht="63.75" x14ac:dyDescent="0.2">
      <c r="A531" s="35">
        <v>46129</v>
      </c>
      <c r="B531" s="73">
        <v>0.47361111111111109</v>
      </c>
      <c r="C531" s="72" t="s">
        <v>460</v>
      </c>
    </row>
    <row r="532" spans="1:3" ht="25.5" x14ac:dyDescent="0.2">
      <c r="A532" s="35">
        <v>46132</v>
      </c>
      <c r="B532" s="73">
        <v>0.40347222222222223</v>
      </c>
      <c r="C532" s="72" t="s">
        <v>461</v>
      </c>
    </row>
    <row r="533" spans="1:3" x14ac:dyDescent="0.2">
      <c r="A533" s="35">
        <v>46133</v>
      </c>
      <c r="B533" s="73">
        <v>0.41944444444444445</v>
      </c>
      <c r="C533" s="72" t="s">
        <v>462</v>
      </c>
    </row>
    <row r="534" spans="1:3" x14ac:dyDescent="0.2">
      <c r="A534" s="35">
        <v>46134</v>
      </c>
      <c r="B534" s="73">
        <v>0.44722222222222224</v>
      </c>
      <c r="C534" s="72" t="s">
        <v>463</v>
      </c>
    </row>
    <row r="535" spans="1:3" ht="51" x14ac:dyDescent="0.2">
      <c r="A535" s="35">
        <v>46135</v>
      </c>
      <c r="B535" s="73">
        <v>0.40625</v>
      </c>
      <c r="C535" s="93" t="s">
        <v>464</v>
      </c>
    </row>
    <row r="536" spans="1:3" x14ac:dyDescent="0.2">
      <c r="A536" s="35">
        <v>46136</v>
      </c>
      <c r="B536" s="73">
        <v>0.45694444444444443</v>
      </c>
      <c r="C536" s="72" t="s">
        <v>243</v>
      </c>
    </row>
    <row r="537" spans="1:3" x14ac:dyDescent="0.2">
      <c r="A537" s="35">
        <v>46139</v>
      </c>
      <c r="B537" s="73">
        <v>0.38611111111111113</v>
      </c>
      <c r="C537" s="72" t="s">
        <v>465</v>
      </c>
    </row>
    <row r="538" spans="1:3" x14ac:dyDescent="0.2">
      <c r="A538" s="35">
        <v>46140</v>
      </c>
      <c r="B538" s="73">
        <v>0.37847222222222221</v>
      </c>
      <c r="C538" s="72" t="s">
        <v>466</v>
      </c>
    </row>
    <row r="539" spans="1:3" x14ac:dyDescent="0.2">
      <c r="A539" s="35">
        <v>46141</v>
      </c>
      <c r="B539" s="73">
        <v>0.39652777777777776</v>
      </c>
      <c r="C539" s="72" t="s">
        <v>466</v>
      </c>
    </row>
    <row r="540" spans="1:3" x14ac:dyDescent="0.2">
      <c r="A540" s="35">
        <v>46142</v>
      </c>
      <c r="B540" s="73">
        <v>0.41111111111111109</v>
      </c>
      <c r="C540" s="72" t="s">
        <v>466</v>
      </c>
    </row>
    <row r="541" spans="1:3" x14ac:dyDescent="0.2">
      <c r="A541" s="35">
        <v>46146</v>
      </c>
      <c r="B541" s="73">
        <v>0.48541666666666666</v>
      </c>
      <c r="C541" s="72" t="s">
        <v>466</v>
      </c>
    </row>
    <row r="542" spans="1:3" x14ac:dyDescent="0.2">
      <c r="A542" s="35">
        <v>46147</v>
      </c>
      <c r="B542" s="73">
        <v>0.3840277777777778</v>
      </c>
      <c r="C542" s="72" t="s">
        <v>466</v>
      </c>
    </row>
    <row r="543" spans="1:3" x14ac:dyDescent="0.2">
      <c r="A543" s="35">
        <v>46148</v>
      </c>
      <c r="B543" s="73">
        <v>0.37847222222222221</v>
      </c>
      <c r="C543" s="72" t="s">
        <v>466</v>
      </c>
    </row>
    <row r="544" spans="1:3" x14ac:dyDescent="0.2">
      <c r="A544" s="35">
        <v>46149</v>
      </c>
      <c r="B544" s="73">
        <v>0.43194444444444446</v>
      </c>
      <c r="C544" s="72" t="s">
        <v>466</v>
      </c>
    </row>
    <row r="545" spans="1:3" x14ac:dyDescent="0.2">
      <c r="A545" s="35">
        <v>46150</v>
      </c>
      <c r="B545" s="73">
        <v>0.38750000000000001</v>
      </c>
      <c r="C545" s="72" t="s">
        <v>466</v>
      </c>
    </row>
    <row r="546" spans="1:3" x14ac:dyDescent="0.2">
      <c r="A546" s="35">
        <v>46153</v>
      </c>
      <c r="B546" s="73">
        <v>0.41249999999999998</v>
      </c>
      <c r="C546" s="72" t="s">
        <v>467</v>
      </c>
    </row>
    <row r="547" spans="1:3" x14ac:dyDescent="0.2">
      <c r="A547" s="35">
        <v>46154</v>
      </c>
      <c r="B547" s="73">
        <v>0.40555555555555556</v>
      </c>
      <c r="C547" s="72" t="s">
        <v>468</v>
      </c>
    </row>
    <row r="548" spans="1:3" x14ac:dyDescent="0.2">
      <c r="A548" s="35">
        <v>46155</v>
      </c>
      <c r="B548" s="73">
        <v>0.41666666666666669</v>
      </c>
      <c r="C548" s="72" t="s">
        <v>469</v>
      </c>
    </row>
    <row r="549" spans="1:3" ht="25.5" x14ac:dyDescent="0.2">
      <c r="A549" s="35">
        <v>46156</v>
      </c>
      <c r="B549" s="73">
        <v>0.38750000000000001</v>
      </c>
      <c r="C549" s="72" t="s">
        <v>470</v>
      </c>
    </row>
    <row r="550" spans="1:3" ht="38.25" x14ac:dyDescent="0.2">
      <c r="A550" s="35">
        <v>46157</v>
      </c>
      <c r="B550" s="73">
        <v>0.3840277777777778</v>
      </c>
      <c r="C550" s="93" t="s">
        <v>471</v>
      </c>
    </row>
    <row r="551" spans="1:3" x14ac:dyDescent="0.2">
      <c r="A551" s="35">
        <v>46160</v>
      </c>
      <c r="B551" s="81">
        <v>9.18</v>
      </c>
      <c r="C551" s="72" t="s">
        <v>472</v>
      </c>
    </row>
    <row r="552" spans="1:3" ht="76.5" x14ac:dyDescent="0.2">
      <c r="A552" s="35">
        <v>46161</v>
      </c>
      <c r="B552" s="73">
        <v>0.39027777777777778</v>
      </c>
      <c r="C552" s="72" t="s">
        <v>473</v>
      </c>
    </row>
    <row r="553" spans="1:3" ht="25.5" x14ac:dyDescent="0.2">
      <c r="A553" s="35">
        <v>46162</v>
      </c>
      <c r="B553" s="73">
        <v>0.42777777777777776</v>
      </c>
      <c r="C553" s="72" t="s">
        <v>474</v>
      </c>
    </row>
    <row r="554" spans="1:3" ht="38.25" x14ac:dyDescent="0.2">
      <c r="A554" s="35">
        <v>46163</v>
      </c>
      <c r="B554" s="73">
        <v>0.39861111111111114</v>
      </c>
      <c r="C554" s="72" t="s">
        <v>475</v>
      </c>
    </row>
    <row r="555" spans="1:3" ht="38.25" x14ac:dyDescent="0.2">
      <c r="A555" s="35">
        <v>46164</v>
      </c>
      <c r="B555" s="73">
        <v>0.37847222222222221</v>
      </c>
      <c r="C555" s="72" t="s">
        <v>476</v>
      </c>
    </row>
    <row r="556" spans="1:3" x14ac:dyDescent="0.2">
      <c r="A556" s="35">
        <v>46167</v>
      </c>
      <c r="B556" s="73">
        <v>0.35347222222222224</v>
      </c>
      <c r="C556" s="72" t="s">
        <v>154</v>
      </c>
    </row>
    <row r="557" spans="1:3" x14ac:dyDescent="0.2">
      <c r="A557" s="35">
        <v>46168</v>
      </c>
      <c r="B557" s="73">
        <v>0.44583333333333336</v>
      </c>
      <c r="C557" s="72" t="s">
        <v>477</v>
      </c>
    </row>
    <row r="558" spans="1:3" x14ac:dyDescent="0.2">
      <c r="A558" s="35">
        <v>46169</v>
      </c>
      <c r="B558" s="73">
        <v>0.38263888888888886</v>
      </c>
      <c r="C558" s="72" t="s">
        <v>477</v>
      </c>
    </row>
    <row r="559" spans="1:3" x14ac:dyDescent="0.2">
      <c r="A559" s="35">
        <v>46170</v>
      </c>
      <c r="B559" s="73">
        <v>0.42430555555555599</v>
      </c>
      <c r="C559" s="72" t="s">
        <v>477</v>
      </c>
    </row>
    <row r="560" spans="1:3" x14ac:dyDescent="0.2">
      <c r="A560" s="35">
        <v>46171</v>
      </c>
      <c r="B560" s="73">
        <v>0.45763888888888887</v>
      </c>
      <c r="C560" s="72" t="s">
        <v>477</v>
      </c>
    </row>
    <row r="561" spans="1:3" x14ac:dyDescent="0.2">
      <c r="A561" s="35">
        <v>46181</v>
      </c>
      <c r="B561" s="73">
        <v>0.42291666666666666</v>
      </c>
      <c r="C561" s="72" t="s">
        <v>478</v>
      </c>
    </row>
    <row r="562" spans="1:3" x14ac:dyDescent="0.2">
      <c r="A562" s="35">
        <v>46182</v>
      </c>
      <c r="B562" s="73">
        <v>0.40694444444444444</v>
      </c>
      <c r="C562" s="72" t="s">
        <v>479</v>
      </c>
    </row>
    <row r="563" spans="1:3" x14ac:dyDescent="0.2">
      <c r="A563" s="35">
        <v>46183</v>
      </c>
      <c r="B563" s="73">
        <v>0.42986111111111114</v>
      </c>
      <c r="C563" s="72" t="s">
        <v>422</v>
      </c>
    </row>
    <row r="564" spans="1:3" x14ac:dyDescent="0.2">
      <c r="A564" s="35">
        <v>46184</v>
      </c>
      <c r="B564" s="73">
        <v>0.40625</v>
      </c>
      <c r="C564" s="72" t="s">
        <v>422</v>
      </c>
    </row>
    <row r="565" spans="1:3" ht="25.5" x14ac:dyDescent="0.2">
      <c r="A565" s="35">
        <v>46185</v>
      </c>
      <c r="B565" s="73">
        <v>0.37222222222222223</v>
      </c>
      <c r="C565" s="72" t="s">
        <v>480</v>
      </c>
    </row>
    <row r="566" spans="1:3" ht="25.5" x14ac:dyDescent="0.2">
      <c r="A566" s="35">
        <v>46188</v>
      </c>
      <c r="B566" s="73">
        <v>0.4284722222222222</v>
      </c>
      <c r="C566" s="72" t="s">
        <v>481</v>
      </c>
    </row>
    <row r="567" spans="1:3" x14ac:dyDescent="0.2">
      <c r="A567" s="35">
        <v>46189</v>
      </c>
      <c r="B567" s="73">
        <v>0.39583333333333331</v>
      </c>
      <c r="C567" s="72" t="s">
        <v>482</v>
      </c>
    </row>
    <row r="568" spans="1:3" ht="63.75" x14ac:dyDescent="0.2">
      <c r="A568" s="35">
        <v>46190</v>
      </c>
      <c r="B568" s="73">
        <v>0.375</v>
      </c>
      <c r="C568" s="72" t="s">
        <v>483</v>
      </c>
    </row>
    <row r="569" spans="1:3" x14ac:dyDescent="0.2">
      <c r="A569" s="35">
        <v>46191</v>
      </c>
      <c r="B569" s="73">
        <v>0.4826388888888889</v>
      </c>
      <c r="C569" s="72" t="s">
        <v>484</v>
      </c>
    </row>
    <row r="570" spans="1:3" ht="25.5" x14ac:dyDescent="0.2">
      <c r="A570" s="35">
        <v>46192</v>
      </c>
      <c r="B570" s="73">
        <v>0.44097222222222221</v>
      </c>
      <c r="C570" s="72" t="s">
        <v>485</v>
      </c>
    </row>
    <row r="571" spans="1:3" ht="51" x14ac:dyDescent="0.2">
      <c r="A571" s="35">
        <v>46195</v>
      </c>
      <c r="B571" s="73">
        <v>0.39513888888888887</v>
      </c>
      <c r="C571" s="72" t="s">
        <v>486</v>
      </c>
    </row>
    <row r="572" spans="1:3" x14ac:dyDescent="0.2">
      <c r="A572" s="35">
        <v>46196</v>
      </c>
      <c r="B572" s="73">
        <v>0.38958333333333334</v>
      </c>
      <c r="C572" s="72" t="s">
        <v>413</v>
      </c>
    </row>
    <row r="573" spans="1:3" x14ac:dyDescent="0.2">
      <c r="A573" s="35">
        <v>46197</v>
      </c>
      <c r="B573" s="73">
        <v>0.43263888888888891</v>
      </c>
      <c r="C573" s="72" t="s">
        <v>487</v>
      </c>
    </row>
  </sheetData>
  <mergeCells count="4">
    <mergeCell ref="A7:A8"/>
    <mergeCell ref="B23:B28"/>
    <mergeCell ref="A23:A28"/>
    <mergeCell ref="A191:A192"/>
  </mergeCells>
  <phoneticPr fontId="3" type="noConversion"/>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
  <sheetViews>
    <sheetView topLeftCell="A18" workbookViewId="0">
      <selection activeCell="A41" sqref="A41"/>
    </sheetView>
  </sheetViews>
  <sheetFormatPr baseColWidth="10" defaultRowHeight="12.75" x14ac:dyDescent="0.2"/>
  <cols>
    <col min="1" max="1" width="12.5703125" style="21" customWidth="1"/>
    <col min="2" max="2" width="16.7109375" style="21" customWidth="1"/>
    <col min="3" max="3" width="19" style="21" customWidth="1"/>
    <col min="4" max="4" width="11.42578125" style="21"/>
  </cols>
  <sheetData>
    <row r="1" spans="1:5" ht="13.5" thickBot="1" x14ac:dyDescent="0.25"/>
    <row r="2" spans="1:5" ht="13.5" thickBot="1" x14ac:dyDescent="0.25">
      <c r="A2" s="33" t="s">
        <v>23</v>
      </c>
      <c r="B2" s="34">
        <f>'Datos Generales'!H4</f>
        <v>997818.29</v>
      </c>
    </row>
    <row r="3" spans="1:5" ht="13.5" thickBot="1" x14ac:dyDescent="0.25"/>
    <row r="4" spans="1:5" ht="13.5" thickBot="1" x14ac:dyDescent="0.25">
      <c r="A4" s="30" t="s">
        <v>20</v>
      </c>
      <c r="B4" s="31" t="s">
        <v>21</v>
      </c>
      <c r="C4" s="31" t="s">
        <v>0</v>
      </c>
      <c r="D4" s="32" t="s">
        <v>22</v>
      </c>
      <c r="E4" s="53" t="s">
        <v>29</v>
      </c>
    </row>
    <row r="5" spans="1:5" x14ac:dyDescent="0.2">
      <c r="A5" s="24">
        <v>1</v>
      </c>
      <c r="B5" s="25">
        <v>5000</v>
      </c>
      <c r="C5" s="26">
        <v>45368</v>
      </c>
      <c r="D5" s="49">
        <f>B2-B5</f>
        <v>992818.29</v>
      </c>
      <c r="E5" s="52"/>
    </row>
    <row r="6" spans="1:5" x14ac:dyDescent="0.2">
      <c r="A6" s="27">
        <v>2</v>
      </c>
      <c r="B6" s="22">
        <v>5000</v>
      </c>
      <c r="C6" s="23">
        <v>45390</v>
      </c>
      <c r="D6" s="50">
        <f>D5-B6</f>
        <v>987818.29</v>
      </c>
      <c r="E6" s="51"/>
    </row>
    <row r="7" spans="1:5" x14ac:dyDescent="0.2">
      <c r="A7" s="27">
        <v>3</v>
      </c>
      <c r="B7" s="22">
        <v>2500</v>
      </c>
      <c r="C7" s="23">
        <v>45412</v>
      </c>
      <c r="D7" s="50">
        <f>D6-B7</f>
        <v>985318.29</v>
      </c>
      <c r="E7" s="51"/>
    </row>
    <row r="8" spans="1:5" x14ac:dyDescent="0.2">
      <c r="A8" s="27">
        <v>4</v>
      </c>
      <c r="B8" s="22">
        <v>2500</v>
      </c>
      <c r="C8" s="23">
        <v>45439</v>
      </c>
      <c r="D8" s="50">
        <f>D7-B8</f>
        <v>982818.29</v>
      </c>
      <c r="E8" s="51"/>
    </row>
    <row r="9" spans="1:5" x14ac:dyDescent="0.2">
      <c r="A9" s="27">
        <v>5</v>
      </c>
      <c r="B9" s="22">
        <v>5000</v>
      </c>
      <c r="C9" s="23">
        <v>45447</v>
      </c>
      <c r="D9" s="50">
        <f t="shared" ref="D9:D24" si="0">D8-B9</f>
        <v>977818.29</v>
      </c>
      <c r="E9" s="51"/>
    </row>
    <row r="10" spans="1:5" x14ac:dyDescent="0.2">
      <c r="A10" s="27">
        <v>6</v>
      </c>
      <c r="B10" s="22">
        <v>5000</v>
      </c>
      <c r="C10" s="23">
        <v>45456</v>
      </c>
      <c r="D10" s="50">
        <f t="shared" si="0"/>
        <v>972818.29</v>
      </c>
      <c r="E10" s="51"/>
    </row>
    <row r="11" spans="1:5" x14ac:dyDescent="0.2">
      <c r="A11" s="27">
        <v>7</v>
      </c>
      <c r="B11" s="22">
        <v>9000</v>
      </c>
      <c r="C11" s="23">
        <v>45501</v>
      </c>
      <c r="D11" s="50">
        <f t="shared" si="0"/>
        <v>963818.29</v>
      </c>
      <c r="E11" s="51"/>
    </row>
    <row r="12" spans="1:5" x14ac:dyDescent="0.2">
      <c r="A12" s="27">
        <v>8</v>
      </c>
      <c r="B12" s="22">
        <v>5000</v>
      </c>
      <c r="C12" s="23">
        <v>45565</v>
      </c>
      <c r="D12" s="50">
        <f t="shared" si="0"/>
        <v>958818.29</v>
      </c>
      <c r="E12" s="51"/>
    </row>
    <row r="13" spans="1:5" x14ac:dyDescent="0.2">
      <c r="A13" s="27">
        <v>9</v>
      </c>
      <c r="B13" s="22">
        <v>5000</v>
      </c>
      <c r="C13" s="23">
        <v>45593</v>
      </c>
      <c r="D13" s="50">
        <f t="shared" si="0"/>
        <v>953818.29</v>
      </c>
      <c r="E13" s="51"/>
    </row>
    <row r="14" spans="1:5" x14ac:dyDescent="0.2">
      <c r="A14" s="27">
        <v>10</v>
      </c>
      <c r="B14" s="22">
        <v>5000</v>
      </c>
      <c r="C14" s="23">
        <v>45635</v>
      </c>
      <c r="D14" s="50">
        <f t="shared" si="0"/>
        <v>948818.29</v>
      </c>
      <c r="E14" s="51"/>
    </row>
    <row r="15" spans="1:5" x14ac:dyDescent="0.2">
      <c r="A15" s="27">
        <v>11</v>
      </c>
      <c r="B15" s="22">
        <v>5000</v>
      </c>
      <c r="C15" s="23">
        <v>45663</v>
      </c>
      <c r="D15" s="50">
        <f t="shared" si="0"/>
        <v>943818.29</v>
      </c>
      <c r="E15" s="51"/>
    </row>
    <row r="16" spans="1:5" x14ac:dyDescent="0.2">
      <c r="A16" s="27">
        <v>12</v>
      </c>
      <c r="B16" s="22">
        <v>5000</v>
      </c>
      <c r="C16" s="23">
        <v>45729</v>
      </c>
      <c r="D16" s="50">
        <f t="shared" si="0"/>
        <v>938818.29</v>
      </c>
      <c r="E16" s="51"/>
    </row>
    <row r="17" spans="1:5" x14ac:dyDescent="0.2">
      <c r="A17" s="27">
        <v>13</v>
      </c>
      <c r="B17" s="22">
        <v>5000</v>
      </c>
      <c r="C17" s="23">
        <v>45772</v>
      </c>
      <c r="D17" s="50">
        <f t="shared" si="0"/>
        <v>933818.29</v>
      </c>
      <c r="E17" s="51"/>
    </row>
    <row r="18" spans="1:5" x14ac:dyDescent="0.2">
      <c r="A18" s="27">
        <v>14</v>
      </c>
      <c r="B18" s="22">
        <v>5000</v>
      </c>
      <c r="C18" s="23">
        <v>45786</v>
      </c>
      <c r="D18" s="50">
        <f t="shared" si="0"/>
        <v>928818.29</v>
      </c>
      <c r="E18" s="51"/>
    </row>
    <row r="19" spans="1:5" x14ac:dyDescent="0.2">
      <c r="A19" s="27">
        <v>15</v>
      </c>
      <c r="B19" s="22">
        <v>5000</v>
      </c>
      <c r="C19" s="23">
        <v>45812</v>
      </c>
      <c r="D19" s="50">
        <f t="shared" si="0"/>
        <v>923818.29</v>
      </c>
      <c r="E19" s="51"/>
    </row>
    <row r="20" spans="1:5" x14ac:dyDescent="0.2">
      <c r="A20" s="27">
        <v>16</v>
      </c>
      <c r="B20" s="22">
        <v>5000</v>
      </c>
      <c r="C20" s="23">
        <v>45841</v>
      </c>
      <c r="D20" s="50">
        <f t="shared" si="0"/>
        <v>918818.29</v>
      </c>
      <c r="E20" s="51"/>
    </row>
    <row r="21" spans="1:5" x14ac:dyDescent="0.2">
      <c r="A21" s="27">
        <v>17</v>
      </c>
      <c r="B21" s="22">
        <v>5000</v>
      </c>
      <c r="C21" s="23">
        <v>45868</v>
      </c>
      <c r="D21" s="50">
        <f t="shared" si="0"/>
        <v>913818.29</v>
      </c>
      <c r="E21" s="51"/>
    </row>
    <row r="22" spans="1:5" x14ac:dyDescent="0.2">
      <c r="A22" s="27">
        <v>18</v>
      </c>
      <c r="B22" s="22">
        <v>5000</v>
      </c>
      <c r="C22" s="23">
        <v>45902</v>
      </c>
      <c r="D22" s="50">
        <f t="shared" si="0"/>
        <v>908818.29</v>
      </c>
      <c r="E22" s="51"/>
    </row>
    <row r="23" spans="1:5" x14ac:dyDescent="0.2">
      <c r="A23" s="27">
        <v>19</v>
      </c>
      <c r="B23" s="22">
        <v>3000</v>
      </c>
      <c r="C23" s="23">
        <v>45922</v>
      </c>
      <c r="D23" s="50">
        <f t="shared" si="0"/>
        <v>905818.29</v>
      </c>
      <c r="E23" s="51"/>
    </row>
    <row r="24" spans="1:5" x14ac:dyDescent="0.2">
      <c r="A24" s="28">
        <v>20</v>
      </c>
      <c r="B24" s="29">
        <v>4000</v>
      </c>
      <c r="C24" s="98">
        <v>45932</v>
      </c>
      <c r="D24" s="50">
        <f t="shared" si="0"/>
        <v>901818.29</v>
      </c>
      <c r="E24" s="51"/>
    </row>
    <row r="25" spans="1:5" x14ac:dyDescent="0.2">
      <c r="A25" s="28">
        <v>21</v>
      </c>
      <c r="B25" s="29">
        <v>3500</v>
      </c>
      <c r="C25" s="98">
        <v>45951</v>
      </c>
      <c r="D25" s="50">
        <f t="shared" ref="D25:D40" si="1">D24-B25</f>
        <v>898318.29</v>
      </c>
      <c r="E25" s="51"/>
    </row>
    <row r="26" spans="1:5" x14ac:dyDescent="0.2">
      <c r="A26" s="28">
        <v>22</v>
      </c>
      <c r="B26" s="29">
        <v>3500</v>
      </c>
      <c r="C26" s="98">
        <v>45985</v>
      </c>
      <c r="D26" s="50">
        <f t="shared" si="1"/>
        <v>894818.29</v>
      </c>
      <c r="E26" s="51"/>
    </row>
    <row r="27" spans="1:5" x14ac:dyDescent="0.2">
      <c r="A27" s="28">
        <v>23</v>
      </c>
      <c r="B27" s="29">
        <v>3500</v>
      </c>
      <c r="C27" s="98">
        <v>45999</v>
      </c>
      <c r="D27" s="50">
        <f t="shared" si="1"/>
        <v>891318.29</v>
      </c>
      <c r="E27" s="51"/>
    </row>
    <row r="28" spans="1:5" x14ac:dyDescent="0.2">
      <c r="A28" s="28">
        <v>24</v>
      </c>
      <c r="B28" s="29">
        <v>5000</v>
      </c>
      <c r="C28" s="98">
        <v>46028</v>
      </c>
      <c r="D28" s="50">
        <f t="shared" si="1"/>
        <v>886318.29</v>
      </c>
      <c r="E28" s="51"/>
    </row>
    <row r="29" spans="1:5" x14ac:dyDescent="0.2">
      <c r="A29" s="28">
        <v>25</v>
      </c>
      <c r="B29" s="29">
        <v>5000</v>
      </c>
      <c r="C29" s="98">
        <v>46057</v>
      </c>
      <c r="D29" s="50">
        <f t="shared" si="1"/>
        <v>881318.29</v>
      </c>
      <c r="E29" s="51"/>
    </row>
    <row r="30" spans="1:5" x14ac:dyDescent="0.2">
      <c r="A30" s="28">
        <v>26</v>
      </c>
      <c r="B30" s="29">
        <v>2500</v>
      </c>
      <c r="C30" s="98">
        <v>46083</v>
      </c>
      <c r="D30" s="100">
        <f t="shared" si="1"/>
        <v>878818.29</v>
      </c>
      <c r="E30" s="101"/>
    </row>
    <row r="31" spans="1:5" x14ac:dyDescent="0.2">
      <c r="A31" s="106">
        <v>27</v>
      </c>
      <c r="B31" s="22">
        <v>2500</v>
      </c>
      <c r="C31" s="23">
        <v>46090</v>
      </c>
      <c r="D31" s="107">
        <f t="shared" si="1"/>
        <v>876318.29</v>
      </c>
      <c r="E31" s="51"/>
    </row>
    <row r="32" spans="1:5" x14ac:dyDescent="0.2">
      <c r="A32" s="106">
        <v>28</v>
      </c>
      <c r="B32" s="22">
        <v>5000</v>
      </c>
      <c r="C32" s="23">
        <v>46112</v>
      </c>
      <c r="D32" s="107">
        <f t="shared" si="1"/>
        <v>871318.29</v>
      </c>
      <c r="E32" s="51"/>
    </row>
    <row r="33" spans="1:5" x14ac:dyDescent="0.2">
      <c r="A33" s="106">
        <v>29</v>
      </c>
      <c r="B33" s="22">
        <v>5000</v>
      </c>
      <c r="C33" s="23">
        <v>46139</v>
      </c>
      <c r="D33" s="107">
        <f t="shared" si="1"/>
        <v>866318.29</v>
      </c>
      <c r="E33" s="51"/>
    </row>
    <row r="34" spans="1:5" x14ac:dyDescent="0.2">
      <c r="A34" s="106">
        <v>30</v>
      </c>
      <c r="B34" s="22">
        <v>5000</v>
      </c>
      <c r="C34" s="23">
        <v>46167</v>
      </c>
      <c r="D34" s="107">
        <f t="shared" si="1"/>
        <v>861318.29</v>
      </c>
      <c r="E34" s="51"/>
    </row>
    <row r="35" spans="1:5" x14ac:dyDescent="0.2">
      <c r="A35" s="106">
        <v>31</v>
      </c>
      <c r="B35" s="22">
        <v>3500</v>
      </c>
      <c r="C35" s="23">
        <v>46196</v>
      </c>
      <c r="D35" s="107">
        <f t="shared" si="1"/>
        <v>857818.29</v>
      </c>
      <c r="E35" s="51"/>
    </row>
    <row r="36" spans="1:5" x14ac:dyDescent="0.2">
      <c r="A36" s="106">
        <v>32</v>
      </c>
      <c r="B36" s="22"/>
      <c r="C36" s="23"/>
      <c r="D36" s="107">
        <f t="shared" si="1"/>
        <v>857818.29</v>
      </c>
      <c r="E36" s="51"/>
    </row>
    <row r="37" spans="1:5" x14ac:dyDescent="0.2">
      <c r="A37" s="106">
        <v>33</v>
      </c>
      <c r="B37" s="22"/>
      <c r="C37" s="23"/>
      <c r="D37" s="107">
        <f t="shared" si="1"/>
        <v>857818.29</v>
      </c>
      <c r="E37" s="51"/>
    </row>
    <row r="38" spans="1:5" x14ac:dyDescent="0.2">
      <c r="A38" s="106">
        <v>34</v>
      </c>
      <c r="B38" s="22"/>
      <c r="C38" s="23"/>
      <c r="D38" s="107">
        <f t="shared" si="1"/>
        <v>857818.29</v>
      </c>
      <c r="E38" s="51"/>
    </row>
    <row r="39" spans="1:5" x14ac:dyDescent="0.2">
      <c r="A39" s="106">
        <v>35</v>
      </c>
      <c r="B39" s="22"/>
      <c r="C39" s="23"/>
      <c r="D39" s="107">
        <f t="shared" si="1"/>
        <v>857818.29</v>
      </c>
      <c r="E39" s="51"/>
    </row>
    <row r="40" spans="1:5" x14ac:dyDescent="0.2">
      <c r="A40" s="106">
        <v>36</v>
      </c>
      <c r="B40" s="22"/>
      <c r="C40" s="23"/>
      <c r="D40" s="107">
        <f t="shared" si="1"/>
        <v>857818.29</v>
      </c>
      <c r="E40" s="51"/>
    </row>
    <row r="41" spans="1:5" ht="13.5" thickBot="1" x14ac:dyDescent="0.25">
      <c r="A41" s="102" t="s">
        <v>24</v>
      </c>
      <c r="B41" s="103">
        <f>SUM(B5:B35)</f>
        <v>140000</v>
      </c>
      <c r="C41" s="104" t="s">
        <v>25</v>
      </c>
      <c r="D41" s="105">
        <f>B2-B41</f>
        <v>857818.29</v>
      </c>
      <c r="E41" s="104"/>
    </row>
  </sheetData>
  <phoneticPr fontId="3" type="noConversion"/>
  <pageMargins left="0.75" right="0.75" top="1" bottom="1" header="0" footer="0"/>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8" sqref="C28"/>
    </sheetView>
  </sheetViews>
  <sheetFormatPr baseColWidth="10" defaultRowHeight="12.75" x14ac:dyDescent="0.2"/>
  <cols>
    <col min="1" max="1" width="11.42578125" style="1"/>
    <col min="2" max="2" width="14.85546875" style="1" customWidth="1"/>
    <col min="3" max="3" width="70.28515625" style="3" customWidth="1"/>
    <col min="4" max="4" width="22.28515625" style="1" customWidth="1"/>
  </cols>
  <sheetData>
    <row r="1" spans="1:4" ht="13.5" thickBot="1" x14ac:dyDescent="0.25">
      <c r="A1" s="4"/>
      <c r="B1" s="5"/>
      <c r="C1" s="6"/>
      <c r="D1" s="7"/>
    </row>
    <row r="2" spans="1:4" x14ac:dyDescent="0.2">
      <c r="B2" s="2"/>
      <c r="D2" s="2"/>
    </row>
  </sheetData>
  <phoneticPr fontId="3" type="noConversion"/>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5"/>
  <sheetViews>
    <sheetView workbookViewId="0">
      <selection activeCell="C2" sqref="C2"/>
    </sheetView>
  </sheetViews>
  <sheetFormatPr baseColWidth="10" defaultRowHeight="11.25" x14ac:dyDescent="0.2"/>
  <cols>
    <col min="1" max="1" width="9.28515625" style="12" customWidth="1"/>
    <col min="2" max="2" width="10.42578125" style="12" bestFit="1" customWidth="1"/>
    <col min="3" max="3" width="58.28515625" style="12" customWidth="1"/>
    <col min="4" max="4" width="34.85546875" style="14" customWidth="1"/>
    <col min="5" max="5" width="25" style="12" customWidth="1"/>
    <col min="6" max="16384" width="11.42578125" style="12"/>
  </cols>
  <sheetData>
    <row r="1" spans="1:5" ht="12" thickBot="1" x14ac:dyDescent="0.25">
      <c r="A1" s="9" t="s">
        <v>30</v>
      </c>
      <c r="B1" s="10" t="s">
        <v>0</v>
      </c>
      <c r="C1" s="11" t="s">
        <v>33</v>
      </c>
      <c r="D1" s="11" t="s">
        <v>32</v>
      </c>
      <c r="E1" s="15" t="s">
        <v>31</v>
      </c>
    </row>
    <row r="2" spans="1:5" x14ac:dyDescent="0.2">
      <c r="A2" s="36"/>
      <c r="B2" s="37"/>
      <c r="C2" s="13"/>
      <c r="D2" s="38"/>
      <c r="E2" s="14"/>
    </row>
    <row r="3" spans="1:5" x14ac:dyDescent="0.2">
      <c r="A3" s="36"/>
      <c r="B3" s="37"/>
    </row>
    <row r="4" spans="1:5" x14ac:dyDescent="0.2">
      <c r="A4" s="36"/>
      <c r="B4" s="37"/>
    </row>
    <row r="5" spans="1:5" x14ac:dyDescent="0.2">
      <c r="A5" s="36"/>
      <c r="B5" s="37"/>
    </row>
    <row r="6" spans="1:5" x14ac:dyDescent="0.2">
      <c r="A6" s="36"/>
      <c r="B6" s="37"/>
    </row>
    <row r="7" spans="1:5" x14ac:dyDescent="0.2">
      <c r="A7" s="36"/>
      <c r="B7" s="37"/>
    </row>
    <row r="8" spans="1:5" x14ac:dyDescent="0.2">
      <c r="A8" s="36"/>
      <c r="B8" s="37"/>
    </row>
    <row r="9" spans="1:5" x14ac:dyDescent="0.2">
      <c r="A9" s="36"/>
      <c r="B9" s="37"/>
    </row>
    <row r="10" spans="1:5" x14ac:dyDescent="0.2">
      <c r="A10" s="36"/>
      <c r="B10" s="37"/>
    </row>
    <row r="11" spans="1:5" x14ac:dyDescent="0.2">
      <c r="A11" s="36"/>
      <c r="B11" s="37"/>
    </row>
    <row r="12" spans="1:5" x14ac:dyDescent="0.2">
      <c r="A12" s="36"/>
      <c r="B12" s="37"/>
    </row>
    <row r="13" spans="1:5" x14ac:dyDescent="0.2">
      <c r="A13" s="36"/>
      <c r="B13" s="37"/>
    </row>
    <row r="14" spans="1:5" x14ac:dyDescent="0.2">
      <c r="A14" s="36"/>
      <c r="B14" s="37"/>
    </row>
    <row r="15" spans="1:5" x14ac:dyDescent="0.2">
      <c r="A15" s="36"/>
      <c r="B15" s="37"/>
    </row>
    <row r="16" spans="1:5" x14ac:dyDescent="0.2">
      <c r="A16" s="36"/>
      <c r="B16" s="37"/>
    </row>
    <row r="17" spans="1:2" x14ac:dyDescent="0.2">
      <c r="A17" s="36"/>
      <c r="B17" s="37"/>
    </row>
    <row r="18" spans="1:2" x14ac:dyDescent="0.2">
      <c r="A18" s="36"/>
      <c r="B18" s="37"/>
    </row>
    <row r="19" spans="1:2" x14ac:dyDescent="0.2">
      <c r="A19" s="36"/>
      <c r="B19" s="37"/>
    </row>
    <row r="20" spans="1:2" x14ac:dyDescent="0.2">
      <c r="A20" s="36"/>
      <c r="B20" s="37"/>
    </row>
    <row r="21" spans="1:2" x14ac:dyDescent="0.2">
      <c r="A21" s="36"/>
      <c r="B21" s="37"/>
    </row>
    <row r="22" spans="1:2" x14ac:dyDescent="0.2">
      <c r="A22" s="36"/>
      <c r="B22" s="37"/>
    </row>
    <row r="23" spans="1:2" x14ac:dyDescent="0.2">
      <c r="A23" s="36"/>
      <c r="B23" s="37"/>
    </row>
    <row r="24" spans="1:2" x14ac:dyDescent="0.2">
      <c r="A24" s="36"/>
      <c r="B24" s="37"/>
    </row>
    <row r="25" spans="1:2" x14ac:dyDescent="0.2">
      <c r="A25" s="36"/>
      <c r="B25" s="37"/>
    </row>
    <row r="26" spans="1:2" x14ac:dyDescent="0.2">
      <c r="A26" s="36"/>
      <c r="B26" s="37"/>
    </row>
    <row r="27" spans="1:2" x14ac:dyDescent="0.2">
      <c r="A27" s="36"/>
      <c r="B27" s="37"/>
    </row>
    <row r="28" spans="1:2" x14ac:dyDescent="0.2">
      <c r="A28" s="36"/>
      <c r="B28" s="37"/>
    </row>
    <row r="29" spans="1:2" x14ac:dyDescent="0.2">
      <c r="A29" s="36"/>
      <c r="B29" s="37"/>
    </row>
    <row r="30" spans="1:2" x14ac:dyDescent="0.2">
      <c r="A30" s="36"/>
      <c r="B30" s="37"/>
    </row>
    <row r="31" spans="1:2" x14ac:dyDescent="0.2">
      <c r="A31" s="36"/>
      <c r="B31" s="37"/>
    </row>
    <row r="32" spans="1:2" x14ac:dyDescent="0.2">
      <c r="A32" s="36"/>
      <c r="B32" s="37"/>
    </row>
    <row r="33" spans="1:2" x14ac:dyDescent="0.2">
      <c r="A33" s="36"/>
      <c r="B33" s="37"/>
    </row>
    <row r="34" spans="1:2" x14ac:dyDescent="0.2">
      <c r="A34" s="36"/>
      <c r="B34" s="37"/>
    </row>
    <row r="35" spans="1:2" x14ac:dyDescent="0.2">
      <c r="A35" s="36"/>
      <c r="B35" s="37"/>
    </row>
  </sheetData>
  <phoneticPr fontId="3" type="noConversion"/>
  <pageMargins left="0.75" right="0.75" top="1" bottom="1" header="0" footer="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870C3-23D6-402D-A264-CAC3C351ABA0}">
  <dimension ref="A2:N36"/>
  <sheetViews>
    <sheetView topLeftCell="C1" workbookViewId="0">
      <selection activeCell="G8" sqref="G8"/>
    </sheetView>
  </sheetViews>
  <sheetFormatPr baseColWidth="10" defaultRowHeight="12.75" x14ac:dyDescent="0.2"/>
  <cols>
    <col min="3" max="3" width="27.42578125" bestFit="1" customWidth="1"/>
    <col min="6" max="6" width="14.28515625" bestFit="1" customWidth="1"/>
    <col min="12" max="12" width="11.42578125" style="81"/>
    <col min="14" max="14" width="18.42578125" bestFit="1" customWidth="1"/>
  </cols>
  <sheetData>
    <row r="2" spans="1:14" x14ac:dyDescent="0.2">
      <c r="A2" s="237" t="s">
        <v>79</v>
      </c>
      <c r="B2" s="237"/>
      <c r="C2" s="237"/>
      <c r="D2" s="237"/>
      <c r="E2" s="237"/>
      <c r="F2" s="237"/>
      <c r="G2" s="237"/>
      <c r="H2" s="237"/>
      <c r="I2" s="237"/>
    </row>
    <row r="3" spans="1:14" x14ac:dyDescent="0.2">
      <c r="A3" s="237" t="s">
        <v>80</v>
      </c>
      <c r="B3" s="237"/>
      <c r="C3" s="237"/>
      <c r="D3" s="237"/>
      <c r="E3" s="237"/>
      <c r="F3" s="237"/>
      <c r="G3" s="237"/>
      <c r="H3" s="237"/>
      <c r="I3" s="237"/>
    </row>
    <row r="4" spans="1:14" x14ac:dyDescent="0.2">
      <c r="A4" s="237"/>
      <c r="B4" s="237"/>
      <c r="C4" s="237"/>
      <c r="D4" s="237"/>
      <c r="E4" s="237"/>
      <c r="F4" s="237"/>
      <c r="G4" s="237"/>
      <c r="H4" s="237"/>
      <c r="I4" s="237"/>
    </row>
    <row r="5" spans="1:14" x14ac:dyDescent="0.2">
      <c r="A5" s="74"/>
      <c r="B5" s="74"/>
      <c r="C5" s="74"/>
      <c r="D5" s="74"/>
      <c r="E5" s="74"/>
      <c r="F5" s="74"/>
      <c r="G5" s="74"/>
      <c r="H5" s="74"/>
      <c r="I5" s="74"/>
    </row>
    <row r="7" spans="1:14" ht="15.75" x14ac:dyDescent="0.2">
      <c r="A7" s="75" t="s">
        <v>81</v>
      </c>
      <c r="B7" s="75" t="s">
        <v>82</v>
      </c>
      <c r="C7" s="75" t="s">
        <v>83</v>
      </c>
      <c r="D7" s="75" t="s">
        <v>84</v>
      </c>
      <c r="E7" s="75" t="s">
        <v>85</v>
      </c>
      <c r="F7" s="75" t="s">
        <v>86</v>
      </c>
      <c r="G7" s="75" t="s">
        <v>87</v>
      </c>
      <c r="H7" s="75" t="s">
        <v>88</v>
      </c>
      <c r="I7" s="76" t="s">
        <v>89</v>
      </c>
      <c r="J7" s="77" t="s">
        <v>90</v>
      </c>
      <c r="K7" s="78" t="s">
        <v>91</v>
      </c>
      <c r="L7" s="75" t="s">
        <v>92</v>
      </c>
    </row>
    <row r="8" spans="1:14" ht="15" x14ac:dyDescent="0.25">
      <c r="A8">
        <v>8810</v>
      </c>
      <c r="B8" s="79">
        <v>55639838</v>
      </c>
      <c r="C8" s="80" t="s">
        <v>93</v>
      </c>
      <c r="D8" s="81">
        <v>1800002412</v>
      </c>
      <c r="E8">
        <v>7100981698</v>
      </c>
      <c r="F8" t="s">
        <v>94</v>
      </c>
      <c r="G8" s="82">
        <v>44123</v>
      </c>
      <c r="H8" s="82">
        <v>44123</v>
      </c>
      <c r="I8" s="83">
        <f>K8/1.16</f>
        <v>-628.81896551724139</v>
      </c>
      <c r="J8" s="83">
        <f>K8-I8</f>
        <v>-100.61103448275855</v>
      </c>
      <c r="K8" s="84">
        <v>-729.43</v>
      </c>
      <c r="L8" s="92" t="s">
        <v>95</v>
      </c>
    </row>
    <row r="9" spans="1:14" ht="15" x14ac:dyDescent="0.25">
      <c r="A9">
        <v>8810</v>
      </c>
      <c r="B9" s="79">
        <v>55639838</v>
      </c>
      <c r="C9" s="80" t="s">
        <v>93</v>
      </c>
      <c r="D9" s="86">
        <v>7100981698</v>
      </c>
      <c r="E9">
        <v>7100981698</v>
      </c>
      <c r="G9" s="82">
        <v>43806</v>
      </c>
      <c r="H9" s="82">
        <v>43896</v>
      </c>
      <c r="I9" s="83">
        <f>K9/1.16</f>
        <v>74937.517241379319</v>
      </c>
      <c r="J9" s="83">
        <f>K9-I9</f>
        <v>11990.002758620685</v>
      </c>
      <c r="K9" s="87">
        <v>86927.52</v>
      </c>
      <c r="L9" s="92" t="s">
        <v>95</v>
      </c>
      <c r="N9" t="s">
        <v>97</v>
      </c>
    </row>
    <row r="10" spans="1:14" ht="15" x14ac:dyDescent="0.25">
      <c r="A10">
        <v>8810</v>
      </c>
      <c r="B10" s="79">
        <v>55639838</v>
      </c>
      <c r="C10" s="80" t="s">
        <v>93</v>
      </c>
      <c r="D10" s="86">
        <v>7100981699</v>
      </c>
      <c r="E10">
        <v>7100981699</v>
      </c>
      <c r="G10" s="82">
        <v>43806</v>
      </c>
      <c r="H10" s="82">
        <v>43896</v>
      </c>
      <c r="I10" s="83">
        <f t="shared" ref="I10:I35" si="0">K10/1.16</f>
        <v>10440.396551724139</v>
      </c>
      <c r="J10" s="83">
        <f t="shared" ref="J10:J35" si="1">K10-I10</f>
        <v>1670.4634482758611</v>
      </c>
      <c r="K10" s="87">
        <v>12110.86</v>
      </c>
      <c r="L10" s="92" t="s">
        <v>95</v>
      </c>
      <c r="N10" t="s">
        <v>98</v>
      </c>
    </row>
    <row r="11" spans="1:14" ht="15" x14ac:dyDescent="0.25">
      <c r="A11">
        <v>8810</v>
      </c>
      <c r="B11" s="79">
        <v>55639838</v>
      </c>
      <c r="C11" s="80" t="s">
        <v>93</v>
      </c>
      <c r="D11" s="86">
        <v>7100981770</v>
      </c>
      <c r="E11">
        <v>7100981770</v>
      </c>
      <c r="G11" s="82">
        <v>43806</v>
      </c>
      <c r="H11" s="82">
        <v>43896</v>
      </c>
      <c r="I11" s="83">
        <f t="shared" si="0"/>
        <v>29486.456896551728</v>
      </c>
      <c r="J11" s="83">
        <f t="shared" si="1"/>
        <v>4717.8331034482726</v>
      </c>
      <c r="K11" s="87">
        <v>34204.29</v>
      </c>
      <c r="L11" s="92" t="s">
        <v>95</v>
      </c>
      <c r="N11" s="91">
        <v>10000</v>
      </c>
    </row>
    <row r="12" spans="1:14" ht="15" x14ac:dyDescent="0.25">
      <c r="A12">
        <v>8810</v>
      </c>
      <c r="B12" s="79">
        <v>55639838</v>
      </c>
      <c r="C12" s="80" t="s">
        <v>93</v>
      </c>
      <c r="D12" s="86">
        <v>7100985283</v>
      </c>
      <c r="E12">
        <v>7100985283</v>
      </c>
      <c r="G12" s="82">
        <v>43818</v>
      </c>
      <c r="H12" s="82">
        <v>43908</v>
      </c>
      <c r="I12" s="83">
        <f t="shared" si="0"/>
        <v>4784.8534482758623</v>
      </c>
      <c r="J12" s="83">
        <f t="shared" si="1"/>
        <v>765.57655172413797</v>
      </c>
      <c r="K12" s="87">
        <v>5550.43</v>
      </c>
      <c r="L12" s="92" t="s">
        <v>95</v>
      </c>
      <c r="N12" s="91"/>
    </row>
    <row r="13" spans="1:14" ht="15" x14ac:dyDescent="0.25">
      <c r="A13">
        <v>8810</v>
      </c>
      <c r="B13" s="79">
        <v>55639838</v>
      </c>
      <c r="C13" s="80" t="s">
        <v>93</v>
      </c>
      <c r="D13" s="86">
        <v>7100985309</v>
      </c>
      <c r="E13">
        <v>7100985309</v>
      </c>
      <c r="G13" s="82">
        <v>43818</v>
      </c>
      <c r="H13" s="82">
        <v>43908</v>
      </c>
      <c r="I13" s="83">
        <f t="shared" si="0"/>
        <v>185.63793103448276</v>
      </c>
      <c r="J13" s="83">
        <f t="shared" si="1"/>
        <v>29.702068965517242</v>
      </c>
      <c r="K13" s="87">
        <v>215.34</v>
      </c>
      <c r="L13" s="92" t="s">
        <v>95</v>
      </c>
    </row>
    <row r="14" spans="1:14" ht="15" x14ac:dyDescent="0.25">
      <c r="A14">
        <v>8810</v>
      </c>
      <c r="B14" s="79">
        <v>55639838</v>
      </c>
      <c r="C14" s="80" t="s">
        <v>93</v>
      </c>
      <c r="D14" s="86">
        <v>7103000079</v>
      </c>
      <c r="E14">
        <v>7103000079</v>
      </c>
      <c r="G14" s="82">
        <v>43833</v>
      </c>
      <c r="H14" s="82">
        <v>43923</v>
      </c>
      <c r="I14" s="83">
        <f t="shared" si="0"/>
        <v>3490.1034482758623</v>
      </c>
      <c r="J14" s="83">
        <f t="shared" si="1"/>
        <v>558.41655172413766</v>
      </c>
      <c r="K14" s="87">
        <v>4048.52</v>
      </c>
      <c r="L14" s="92" t="s">
        <v>95</v>
      </c>
    </row>
    <row r="15" spans="1:14" ht="15" x14ac:dyDescent="0.25">
      <c r="A15">
        <v>8810</v>
      </c>
      <c r="B15" s="79">
        <v>55639838</v>
      </c>
      <c r="C15" s="80" t="s">
        <v>93</v>
      </c>
      <c r="D15" s="86">
        <v>7103000083</v>
      </c>
      <c r="E15">
        <v>7103000083</v>
      </c>
      <c r="G15" s="82">
        <v>43833</v>
      </c>
      <c r="H15" s="82">
        <v>43923</v>
      </c>
      <c r="I15" s="83">
        <f t="shared" si="0"/>
        <v>117501.21551724139</v>
      </c>
      <c r="J15" s="83">
        <f t="shared" si="1"/>
        <v>18800.194482758612</v>
      </c>
      <c r="K15" s="87">
        <v>136301.41</v>
      </c>
      <c r="L15" s="92" t="s">
        <v>95</v>
      </c>
    </row>
    <row r="16" spans="1:14" ht="15" x14ac:dyDescent="0.25">
      <c r="A16">
        <v>8810</v>
      </c>
      <c r="B16" s="79">
        <v>55639838</v>
      </c>
      <c r="C16" s="80" t="s">
        <v>93</v>
      </c>
      <c r="D16" s="86">
        <v>7103000114</v>
      </c>
      <c r="E16">
        <v>7103000114</v>
      </c>
      <c r="G16" s="82">
        <v>43833</v>
      </c>
      <c r="H16" s="82">
        <v>43923</v>
      </c>
      <c r="I16" s="83">
        <f t="shared" si="0"/>
        <v>2995.3793103448279</v>
      </c>
      <c r="J16" s="83">
        <f t="shared" si="1"/>
        <v>479.26068965517197</v>
      </c>
      <c r="K16" s="87">
        <v>3474.64</v>
      </c>
      <c r="L16" s="92" t="s">
        <v>95</v>
      </c>
    </row>
    <row r="17" spans="1:12" ht="15" x14ac:dyDescent="0.25">
      <c r="A17">
        <v>8810</v>
      </c>
      <c r="B17" s="79">
        <v>55639838</v>
      </c>
      <c r="C17" s="80" t="s">
        <v>93</v>
      </c>
      <c r="D17" s="86">
        <v>7103001780</v>
      </c>
      <c r="E17">
        <v>7103001780</v>
      </c>
      <c r="G17" s="82">
        <v>43840</v>
      </c>
      <c r="H17" s="82">
        <v>43930</v>
      </c>
      <c r="I17" s="83">
        <f t="shared" si="0"/>
        <v>9804.9396551724149</v>
      </c>
      <c r="J17" s="83">
        <f t="shared" si="1"/>
        <v>1568.7903448275847</v>
      </c>
      <c r="K17" s="87">
        <v>11373.73</v>
      </c>
      <c r="L17" s="92" t="s">
        <v>95</v>
      </c>
    </row>
    <row r="18" spans="1:12" ht="15" x14ac:dyDescent="0.25">
      <c r="A18">
        <v>8810</v>
      </c>
      <c r="B18" s="79">
        <v>55639838</v>
      </c>
      <c r="C18" s="80" t="s">
        <v>93</v>
      </c>
      <c r="D18" s="86">
        <v>7103003868</v>
      </c>
      <c r="E18">
        <v>7103003868</v>
      </c>
      <c r="G18" s="82">
        <v>43847</v>
      </c>
      <c r="H18" s="82">
        <v>43937</v>
      </c>
      <c r="I18" s="83">
        <f t="shared" si="0"/>
        <v>2042.0775862068967</v>
      </c>
      <c r="J18" s="83">
        <f t="shared" si="1"/>
        <v>326.73241379310321</v>
      </c>
      <c r="K18" s="87">
        <v>2368.81</v>
      </c>
      <c r="L18" s="92" t="s">
        <v>95</v>
      </c>
    </row>
    <row r="19" spans="1:12" ht="15" x14ac:dyDescent="0.25">
      <c r="A19">
        <v>8810</v>
      </c>
      <c r="B19" s="79">
        <v>55639838</v>
      </c>
      <c r="C19" s="80" t="s">
        <v>93</v>
      </c>
      <c r="D19" s="86">
        <v>7103005431</v>
      </c>
      <c r="E19">
        <v>7103005431</v>
      </c>
      <c r="G19" s="82">
        <v>43854</v>
      </c>
      <c r="H19" s="82">
        <v>43944</v>
      </c>
      <c r="I19" s="83">
        <f t="shared" si="0"/>
        <v>12505.318965517243</v>
      </c>
      <c r="J19" s="83">
        <f t="shared" si="1"/>
        <v>2000.8510344827573</v>
      </c>
      <c r="K19" s="87">
        <v>14506.17</v>
      </c>
      <c r="L19" s="92" t="s">
        <v>95</v>
      </c>
    </row>
    <row r="20" spans="1:12" ht="15" x14ac:dyDescent="0.25">
      <c r="A20">
        <v>8810</v>
      </c>
      <c r="B20" s="79">
        <v>55639838</v>
      </c>
      <c r="C20" s="80" t="s">
        <v>93</v>
      </c>
      <c r="D20" s="86">
        <v>7103005434</v>
      </c>
      <c r="E20">
        <v>7103005434</v>
      </c>
      <c r="G20" s="82">
        <v>43854</v>
      </c>
      <c r="H20" s="82">
        <v>43899</v>
      </c>
      <c r="I20" s="83">
        <f t="shared" si="0"/>
        <v>4950.5</v>
      </c>
      <c r="J20" s="83">
        <f t="shared" si="1"/>
        <v>792.07999999999993</v>
      </c>
      <c r="K20" s="87">
        <v>5742.58</v>
      </c>
      <c r="L20" s="92" t="s">
        <v>95</v>
      </c>
    </row>
    <row r="21" spans="1:12" ht="15" x14ac:dyDescent="0.25">
      <c r="A21">
        <v>8810</v>
      </c>
      <c r="B21" s="79">
        <v>55639838</v>
      </c>
      <c r="C21" s="80" t="s">
        <v>93</v>
      </c>
      <c r="D21" s="86">
        <v>7103008364</v>
      </c>
      <c r="E21">
        <v>7103008364</v>
      </c>
      <c r="G21" s="82">
        <v>43861</v>
      </c>
      <c r="H21" s="82">
        <v>43951</v>
      </c>
      <c r="I21" s="83">
        <f t="shared" si="0"/>
        <v>21652.956896551725</v>
      </c>
      <c r="J21" s="83">
        <f t="shared" si="1"/>
        <v>3464.4731034482757</v>
      </c>
      <c r="K21" s="87">
        <v>25117.43</v>
      </c>
      <c r="L21" s="92" t="s">
        <v>95</v>
      </c>
    </row>
    <row r="22" spans="1:12" ht="15" x14ac:dyDescent="0.25">
      <c r="A22">
        <v>8810</v>
      </c>
      <c r="B22" s="79">
        <v>55639838</v>
      </c>
      <c r="C22" s="80" t="s">
        <v>93</v>
      </c>
      <c r="D22" s="86">
        <v>7103008365</v>
      </c>
      <c r="E22">
        <v>7103008365</v>
      </c>
      <c r="G22" s="82">
        <v>43861</v>
      </c>
      <c r="H22" s="82">
        <v>43906</v>
      </c>
      <c r="I22" s="83">
        <f t="shared" si="0"/>
        <v>2276.3793103448274</v>
      </c>
      <c r="J22" s="83">
        <f t="shared" si="1"/>
        <v>364.22068965517246</v>
      </c>
      <c r="K22" s="87">
        <v>2640.6</v>
      </c>
      <c r="L22" s="92" t="s">
        <v>95</v>
      </c>
    </row>
    <row r="23" spans="1:12" ht="15" x14ac:dyDescent="0.25">
      <c r="A23">
        <v>8810</v>
      </c>
      <c r="B23" s="79">
        <v>55639838</v>
      </c>
      <c r="C23" s="80" t="s">
        <v>93</v>
      </c>
      <c r="D23" s="86">
        <v>7103008366</v>
      </c>
      <c r="E23">
        <v>7103008366</v>
      </c>
      <c r="G23" s="82">
        <v>43861</v>
      </c>
      <c r="H23" s="82">
        <v>43906</v>
      </c>
      <c r="I23" s="83">
        <f t="shared" si="0"/>
        <v>9872.1724137931033</v>
      </c>
      <c r="J23" s="83">
        <f t="shared" si="1"/>
        <v>1579.5475862068961</v>
      </c>
      <c r="K23" s="87">
        <v>11451.72</v>
      </c>
      <c r="L23" s="92" t="s">
        <v>95</v>
      </c>
    </row>
    <row r="24" spans="1:12" ht="15" x14ac:dyDescent="0.25">
      <c r="A24">
        <v>8810</v>
      </c>
      <c r="B24" s="79">
        <v>55639838</v>
      </c>
      <c r="C24" s="80" t="s">
        <v>93</v>
      </c>
      <c r="D24" s="86">
        <v>7103009410</v>
      </c>
      <c r="E24">
        <v>7103009410</v>
      </c>
      <c r="G24" s="82">
        <v>43868</v>
      </c>
      <c r="H24" s="82">
        <v>43958</v>
      </c>
      <c r="I24" s="83">
        <f t="shared" si="0"/>
        <v>14743.232758620692</v>
      </c>
      <c r="J24" s="83">
        <f t="shared" si="1"/>
        <v>2358.9172413793094</v>
      </c>
      <c r="K24" s="87">
        <v>17102.150000000001</v>
      </c>
      <c r="L24" s="92" t="s">
        <v>95</v>
      </c>
    </row>
    <row r="25" spans="1:12" ht="15" x14ac:dyDescent="0.25">
      <c r="A25">
        <v>8810</v>
      </c>
      <c r="B25" s="79">
        <v>55639838</v>
      </c>
      <c r="C25" s="80" t="s">
        <v>93</v>
      </c>
      <c r="D25" s="86">
        <v>7103009411</v>
      </c>
      <c r="E25">
        <v>7103009411</v>
      </c>
      <c r="G25" s="82">
        <v>43868</v>
      </c>
      <c r="H25" s="82">
        <v>43913</v>
      </c>
      <c r="I25" s="83">
        <f t="shared" si="0"/>
        <v>2610.1034482758619</v>
      </c>
      <c r="J25" s="83">
        <f t="shared" si="1"/>
        <v>417.61655172413793</v>
      </c>
      <c r="K25" s="87">
        <v>3027.72</v>
      </c>
      <c r="L25" s="92" t="s">
        <v>95</v>
      </c>
    </row>
    <row r="26" spans="1:12" ht="15" x14ac:dyDescent="0.25">
      <c r="A26">
        <v>8810</v>
      </c>
      <c r="B26" s="79">
        <v>55639838</v>
      </c>
      <c r="C26" s="80" t="s">
        <v>93</v>
      </c>
      <c r="D26" s="86">
        <v>7103011673</v>
      </c>
      <c r="E26">
        <v>7103011673</v>
      </c>
      <c r="G26" s="82">
        <v>43875</v>
      </c>
      <c r="H26" s="82">
        <v>43920</v>
      </c>
      <c r="I26" s="83">
        <f t="shared" si="0"/>
        <v>499.23275862068971</v>
      </c>
      <c r="J26" s="83">
        <f t="shared" si="1"/>
        <v>79.877241379310306</v>
      </c>
      <c r="K26" s="87">
        <v>579.11</v>
      </c>
      <c r="L26" s="92" t="s">
        <v>95</v>
      </c>
    </row>
    <row r="27" spans="1:12" ht="15" x14ac:dyDescent="0.25">
      <c r="A27">
        <v>8810</v>
      </c>
      <c r="B27" s="79">
        <v>55639838</v>
      </c>
      <c r="C27" s="80" t="s">
        <v>93</v>
      </c>
      <c r="D27" s="86">
        <v>7103015897</v>
      </c>
      <c r="E27">
        <v>7103015897</v>
      </c>
      <c r="G27" s="82">
        <v>43889</v>
      </c>
      <c r="H27" s="82">
        <v>43949</v>
      </c>
      <c r="I27" s="83">
        <f t="shared" si="0"/>
        <v>310996.78448275867</v>
      </c>
      <c r="J27" s="83">
        <f t="shared" si="1"/>
        <v>49759.485517241352</v>
      </c>
      <c r="K27" s="87">
        <v>360756.27</v>
      </c>
      <c r="L27" s="92" t="s">
        <v>95</v>
      </c>
    </row>
    <row r="28" spans="1:12" ht="15" x14ac:dyDescent="0.25">
      <c r="A28">
        <v>8810</v>
      </c>
      <c r="B28" s="79">
        <v>55639838</v>
      </c>
      <c r="C28" s="80" t="s">
        <v>93</v>
      </c>
      <c r="D28" s="86">
        <v>7103015898</v>
      </c>
      <c r="E28">
        <v>7103015898</v>
      </c>
      <c r="G28" s="82">
        <v>43889</v>
      </c>
      <c r="H28" s="82">
        <v>43949</v>
      </c>
      <c r="I28" s="83">
        <f t="shared" si="0"/>
        <v>17353.810344827587</v>
      </c>
      <c r="J28" s="83">
        <f t="shared" si="1"/>
        <v>2776.6096551724113</v>
      </c>
      <c r="K28" s="87">
        <v>20130.419999999998</v>
      </c>
      <c r="L28" s="92" t="s">
        <v>95</v>
      </c>
    </row>
    <row r="29" spans="1:12" ht="15" x14ac:dyDescent="0.25">
      <c r="A29">
        <v>8810</v>
      </c>
      <c r="B29" s="79">
        <v>55639838</v>
      </c>
      <c r="C29" s="80" t="s">
        <v>93</v>
      </c>
      <c r="D29" s="86">
        <v>7103017298</v>
      </c>
      <c r="E29">
        <v>7103017298</v>
      </c>
      <c r="G29" s="82">
        <v>43896</v>
      </c>
      <c r="H29" s="82">
        <v>43956</v>
      </c>
      <c r="I29" s="83">
        <f t="shared" si="0"/>
        <v>44022.818965517246</v>
      </c>
      <c r="J29" s="83">
        <f t="shared" si="1"/>
        <v>7043.6510344827548</v>
      </c>
      <c r="K29" s="87">
        <v>51066.47</v>
      </c>
      <c r="L29" s="92" t="s">
        <v>95</v>
      </c>
    </row>
    <row r="30" spans="1:12" ht="15" x14ac:dyDescent="0.25">
      <c r="A30">
        <v>8810</v>
      </c>
      <c r="B30" s="79">
        <v>55639838</v>
      </c>
      <c r="C30" s="80" t="s">
        <v>93</v>
      </c>
      <c r="D30" s="86">
        <v>7103017303</v>
      </c>
      <c r="E30">
        <v>7103017303</v>
      </c>
      <c r="G30" s="82">
        <v>43896</v>
      </c>
      <c r="H30" s="82">
        <v>43956</v>
      </c>
      <c r="I30" s="83">
        <f t="shared" si="0"/>
        <v>40192.689655172413</v>
      </c>
      <c r="J30" s="83">
        <f t="shared" si="1"/>
        <v>6430.8303448275838</v>
      </c>
      <c r="K30" s="87">
        <v>46623.519999999997</v>
      </c>
      <c r="L30" s="92" t="s">
        <v>95</v>
      </c>
    </row>
    <row r="31" spans="1:12" ht="15" x14ac:dyDescent="0.25">
      <c r="A31">
        <v>8810</v>
      </c>
      <c r="B31" s="79">
        <v>55639838</v>
      </c>
      <c r="C31" s="80" t="s">
        <v>93</v>
      </c>
      <c r="D31" s="86">
        <v>7103020012</v>
      </c>
      <c r="E31">
        <v>7103020012</v>
      </c>
      <c r="G31" s="82">
        <v>43903</v>
      </c>
      <c r="H31" s="82">
        <v>43963</v>
      </c>
      <c r="I31" s="83">
        <f t="shared" si="0"/>
        <v>1638.1379310344828</v>
      </c>
      <c r="J31" s="83">
        <f t="shared" si="1"/>
        <v>262.10206896551722</v>
      </c>
      <c r="K31" s="87">
        <v>1900.24</v>
      </c>
      <c r="L31" s="92" t="s">
        <v>95</v>
      </c>
    </row>
    <row r="32" spans="1:12" ht="15" x14ac:dyDescent="0.25">
      <c r="A32">
        <v>8810</v>
      </c>
      <c r="B32" s="79">
        <v>55639838</v>
      </c>
      <c r="C32" s="80" t="s">
        <v>93</v>
      </c>
      <c r="D32" s="86">
        <v>7103033125</v>
      </c>
      <c r="E32">
        <v>7103033125</v>
      </c>
      <c r="G32" s="82">
        <v>43970</v>
      </c>
      <c r="H32" s="82">
        <v>44030</v>
      </c>
      <c r="I32" s="83">
        <f t="shared" si="0"/>
        <v>41241.612068965514</v>
      </c>
      <c r="J32" s="83">
        <f t="shared" si="1"/>
        <v>6598.6579310344823</v>
      </c>
      <c r="K32" s="87">
        <v>47840.27</v>
      </c>
      <c r="L32" s="92" t="s">
        <v>95</v>
      </c>
    </row>
    <row r="33" spans="1:12" ht="15" x14ac:dyDescent="0.25">
      <c r="A33">
        <v>8810</v>
      </c>
      <c r="B33" s="79">
        <v>55639838</v>
      </c>
      <c r="C33" s="80" t="s">
        <v>93</v>
      </c>
      <c r="D33" s="86">
        <v>7103034163</v>
      </c>
      <c r="E33">
        <v>7103034163</v>
      </c>
      <c r="G33" s="82">
        <v>43974</v>
      </c>
      <c r="H33" s="82">
        <v>44034</v>
      </c>
      <c r="I33" s="83">
        <f t="shared" si="0"/>
        <v>6228.6637931034484</v>
      </c>
      <c r="J33" s="83">
        <f t="shared" si="1"/>
        <v>996.58620689655163</v>
      </c>
      <c r="K33" s="87">
        <v>7225.25</v>
      </c>
      <c r="L33" s="92" t="s">
        <v>95</v>
      </c>
    </row>
    <row r="34" spans="1:12" ht="15" x14ac:dyDescent="0.25">
      <c r="A34">
        <v>8810</v>
      </c>
      <c r="B34" s="79">
        <v>55639838</v>
      </c>
      <c r="C34" s="80" t="s">
        <v>93</v>
      </c>
      <c r="D34" s="86">
        <v>7103065676</v>
      </c>
      <c r="E34">
        <v>7103065676</v>
      </c>
      <c r="G34" s="82">
        <v>44098</v>
      </c>
      <c r="H34" s="82">
        <v>44098</v>
      </c>
      <c r="I34" s="83">
        <f t="shared" si="0"/>
        <v>28199.85946394247</v>
      </c>
      <c r="J34" s="83">
        <f t="shared" si="1"/>
        <v>4511.9775142307917</v>
      </c>
      <c r="K34" s="87">
        <v>32711.836978173262</v>
      </c>
      <c r="L34" s="92" t="s">
        <v>95</v>
      </c>
    </row>
    <row r="35" spans="1:12" ht="15.75" thickBot="1" x14ac:dyDescent="0.3">
      <c r="A35">
        <v>8810</v>
      </c>
      <c r="B35" s="79">
        <v>55639838</v>
      </c>
      <c r="C35" s="80" t="s">
        <v>93</v>
      </c>
      <c r="D35" s="86">
        <v>7103065676</v>
      </c>
      <c r="E35" s="85" t="s">
        <v>96</v>
      </c>
      <c r="G35" s="88">
        <v>44098</v>
      </c>
      <c r="H35" s="88">
        <v>44113</v>
      </c>
      <c r="I35" s="89">
        <f t="shared" si="0"/>
        <v>46164.146551724145</v>
      </c>
      <c r="J35" s="89">
        <f t="shared" si="1"/>
        <v>7386.2634482758585</v>
      </c>
      <c r="K35" s="89">
        <v>53550.41</v>
      </c>
      <c r="L35" s="92" t="s">
        <v>95</v>
      </c>
    </row>
    <row r="36" spans="1:12" ht="15.75" thickTop="1" x14ac:dyDescent="0.25">
      <c r="I36" s="90">
        <f>SUM(I8:I35)</f>
        <v>860188.17842945969</v>
      </c>
      <c r="J36" s="90">
        <f>SUM(J8:J35)</f>
        <v>137630.1085487135</v>
      </c>
      <c r="K36" s="90">
        <f>SUM(K8:K35)</f>
        <v>997818.28697817319</v>
      </c>
    </row>
  </sheetData>
  <mergeCells count="3">
    <mergeCell ref="A2:I2"/>
    <mergeCell ref="A3:I3"/>
    <mergeCell ref="A4:I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Datos Generales</vt:lpstr>
      <vt:lpstr>Bitácora</vt:lpstr>
      <vt:lpstr>Adeudo</vt:lpstr>
      <vt:lpstr>Reporte al cliente</vt:lpstr>
      <vt:lpstr>Datos de Visitas</vt:lpstr>
      <vt:lpstr>Facturas </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EQUIPO-HP</dc:creator>
  <cp:lastModifiedBy>Lic. Jesus Leal</cp:lastModifiedBy>
  <dcterms:created xsi:type="dcterms:W3CDTF">2012-04-17T01:43:17Z</dcterms:created>
  <dcterms:modified xsi:type="dcterms:W3CDTF">2026-06-24T16:23:28Z</dcterms:modified>
</cp:coreProperties>
</file>